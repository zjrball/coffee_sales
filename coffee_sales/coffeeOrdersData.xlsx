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zacan\Desktop\coffee_sales\"/>
    </mc:Choice>
  </mc:AlternateContent>
  <xr:revisionPtr revIDLastSave="0" documentId="13_ncr:1_{993B5965-C5A4-4013-AC9A-DA1DA07072BD}" xr6:coauthVersionLast="47" xr6:coauthVersionMax="47" xr10:uidLastSave="{00000000-0000-0000-0000-000000000000}"/>
  <bookViews>
    <workbookView xWindow="23235" yWindow="0" windowWidth="28410" windowHeight="20985" xr2:uid="{00000000-000D-0000-FFFF-FFFF00000000}"/>
  </bookViews>
  <sheets>
    <sheet name="Dashboard" sheetId="21" r:id="rId1"/>
    <sheet name="TotalSales" sheetId="18" r:id="rId2"/>
    <sheet name="orders" sheetId="17" r:id="rId3"/>
    <sheet name="customers" sheetId="13" r:id="rId4"/>
    <sheet name="products" sheetId="2" r:id="rId5"/>
    <sheet name="CountryBarChart" sheetId="19" r:id="rId6"/>
    <sheet name="Top5Customers" sheetId="20" r:id="rId7"/>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3" i="17"/>
  <c r="O66" i="17"/>
  <c r="O68" i="17"/>
  <c r="O96" i="17"/>
  <c r="O104" i="17"/>
  <c r="O105" i="17"/>
  <c r="O106" i="17"/>
  <c r="O107" i="17"/>
  <c r="O146" i="17"/>
  <c r="O164" i="17"/>
  <c r="O166" i="17"/>
  <c r="O168" i="17"/>
  <c r="O170" i="17"/>
  <c r="O177" i="17"/>
  <c r="O178" i="17"/>
  <c r="O179" i="17"/>
  <c r="O182" i="17"/>
  <c r="O234" i="17"/>
  <c r="O236" i="17"/>
  <c r="O238" i="17"/>
  <c r="O240" i="17"/>
  <c r="O242" i="17"/>
  <c r="O249" i="17"/>
  <c r="O274" i="17"/>
  <c r="O275" i="17"/>
  <c r="O278" i="17"/>
  <c r="O332" i="17"/>
  <c r="O338" i="17"/>
  <c r="O344" i="17"/>
  <c r="O345" i="17"/>
  <c r="O346" i="17"/>
  <c r="O380" i="17"/>
  <c r="O384" i="17"/>
  <c r="O398" i="17"/>
  <c r="O400" i="17"/>
  <c r="O402" i="17"/>
  <c r="O404" i="17"/>
  <c r="O406" i="17"/>
  <c r="O407" i="17"/>
  <c r="O408" i="17"/>
  <c r="O430" i="17"/>
  <c r="O447" i="17"/>
  <c r="O450" i="17"/>
  <c r="O452" i="17"/>
  <c r="O474" i="17"/>
  <c r="O478" i="17"/>
  <c r="O479" i="17"/>
  <c r="O480" i="17"/>
  <c r="O482" i="17"/>
  <c r="O530" i="17"/>
  <c r="O536" i="17"/>
  <c r="O537" i="17"/>
  <c r="O538" i="17"/>
  <c r="O542" i="17"/>
  <c r="O543" i="17"/>
  <c r="O544" i="17"/>
  <c r="O545" i="17"/>
  <c r="O576" i="17"/>
  <c r="O578" i="17"/>
  <c r="O590" i="17"/>
  <c r="O591" i="17"/>
  <c r="O592" i="17"/>
  <c r="O602" i="17"/>
  <c r="O604" i="17"/>
  <c r="O605" i="17"/>
  <c r="O608" i="17"/>
  <c r="O648" i="17"/>
  <c r="O650" i="17"/>
  <c r="O652" i="17"/>
  <c r="O656" i="17"/>
  <c r="O657" i="17"/>
  <c r="O658" i="17"/>
  <c r="O659" i="17"/>
  <c r="O692" i="17"/>
  <c r="O693" i="17"/>
  <c r="O694" i="17"/>
  <c r="O704" i="17"/>
  <c r="O705" i="17"/>
  <c r="O710" i="17"/>
  <c r="O718" i="17"/>
  <c r="O719" i="17"/>
  <c r="O740" i="17"/>
  <c r="O744" i="17"/>
  <c r="O762" i="17"/>
  <c r="O764" i="17"/>
  <c r="O766" i="17"/>
  <c r="O767" i="17"/>
  <c r="O768" i="17"/>
  <c r="O770" i="17"/>
  <c r="O801" i="17"/>
  <c r="O806" i="17"/>
  <c r="O807" i="17"/>
  <c r="O818" i="17"/>
  <c r="O820" i="17"/>
  <c r="O821" i="17"/>
  <c r="O824" i="17"/>
  <c r="O855" i="17"/>
  <c r="O858" i="17"/>
  <c r="O860" i="17"/>
  <c r="O879" i="17"/>
  <c r="O880" i="17"/>
  <c r="O881" i="17"/>
  <c r="O882" i="17"/>
  <c r="O897" i="17"/>
  <c r="O912" i="17"/>
  <c r="O914" i="17"/>
  <c r="O916" i="17"/>
  <c r="O920" i="17"/>
  <c r="O922" i="17"/>
  <c r="O923" i="17"/>
  <c r="O926" i="17"/>
  <c r="O933" i="17"/>
  <c r="O954" i="17"/>
  <c r="O962" i="17"/>
  <c r="O968" i="17"/>
  <c r="O969" i="17"/>
  <c r="O970" i="17"/>
  <c r="O974" i="17"/>
  <c r="O975" i="17"/>
  <c r="O976" i="17"/>
  <c r="O992" i="17"/>
  <c r="N4" i="17"/>
  <c r="N8" i="17"/>
  <c r="N9" i="17"/>
  <c r="N10" i="17"/>
  <c r="N27" i="17"/>
  <c r="N29" i="17"/>
  <c r="N30" i="17"/>
  <c r="N32" i="17"/>
  <c r="N33" i="17"/>
  <c r="N69" i="17"/>
  <c r="N70" i="17"/>
  <c r="N77" i="17"/>
  <c r="N80" i="17"/>
  <c r="N81" i="17"/>
  <c r="N82" i="17"/>
  <c r="N84" i="17"/>
  <c r="N117" i="17"/>
  <c r="N118" i="17"/>
  <c r="N119" i="17"/>
  <c r="N123" i="17"/>
  <c r="N124" i="17"/>
  <c r="N125" i="17"/>
  <c r="N126" i="17"/>
  <c r="N143" i="17"/>
  <c r="N154" i="17"/>
  <c r="N166" i="17"/>
  <c r="N170" i="17"/>
  <c r="N177" i="17"/>
  <c r="N184" i="17"/>
  <c r="N185" i="17"/>
  <c r="N193" i="17"/>
  <c r="N224" i="17"/>
  <c r="N225" i="17"/>
  <c r="N226" i="17"/>
  <c r="N232" i="17"/>
  <c r="N233" i="17"/>
  <c r="N234" i="17"/>
  <c r="N235" i="17"/>
  <c r="N237" i="17"/>
  <c r="N266" i="17"/>
  <c r="N267" i="17"/>
  <c r="N268" i="17"/>
  <c r="N269" i="17"/>
  <c r="N280" i="17"/>
  <c r="N285" i="17"/>
  <c r="N286" i="17"/>
  <c r="N293" i="17"/>
  <c r="N314" i="17"/>
  <c r="N316" i="17"/>
  <c r="N320" i="17"/>
  <c r="N338" i="17"/>
  <c r="N339" i="17"/>
  <c r="N340" i="17"/>
  <c r="N341" i="17"/>
  <c r="N342" i="17"/>
  <c r="N370" i="17"/>
  <c r="N374" i="17"/>
  <c r="N376" i="17"/>
  <c r="N377" i="17"/>
  <c r="N381" i="17"/>
  <c r="N382" i="17"/>
  <c r="N383" i="17"/>
  <c r="N390" i="17"/>
  <c r="N410" i="17"/>
  <c r="N416" i="17"/>
  <c r="N417" i="17"/>
  <c r="N418" i="17"/>
  <c r="N422" i="17"/>
  <c r="N425" i="17"/>
  <c r="N426" i="17"/>
  <c r="N429" i="17"/>
  <c r="N436" i="17"/>
  <c r="N453" i="17"/>
  <c r="N458" i="17"/>
  <c r="N459" i="17"/>
  <c r="N470" i="17"/>
  <c r="N473" i="17"/>
  <c r="N474" i="17"/>
  <c r="N477" i="17"/>
  <c r="N478" i="17"/>
  <c r="N489" i="17"/>
  <c r="N506" i="17"/>
  <c r="N507" i="17"/>
  <c r="N508" i="17"/>
  <c r="N512" i="17"/>
  <c r="N513" i="17"/>
  <c r="N514" i="17"/>
  <c r="N537" i="17"/>
  <c r="N542" i="17"/>
  <c r="N544" i="17"/>
  <c r="N554" i="17"/>
  <c r="N555" i="17"/>
  <c r="N562" i="17"/>
  <c r="N579" i="17"/>
  <c r="N584" i="17"/>
  <c r="N585" i="17"/>
  <c r="N597" i="17"/>
  <c r="N598" i="17"/>
  <c r="N599" i="17"/>
  <c r="N600" i="17"/>
  <c r="N601" i="17"/>
  <c r="N626" i="17"/>
  <c r="N627" i="17"/>
  <c r="N628" i="17"/>
  <c r="N629" i="17"/>
  <c r="N633" i="17"/>
  <c r="N634" i="17"/>
  <c r="N638" i="17"/>
  <c r="N640" i="17"/>
  <c r="N641" i="17"/>
  <c r="N642" i="17"/>
  <c r="N669" i="17"/>
  <c r="N670" i="17"/>
  <c r="N671" i="17"/>
  <c r="N675" i="17"/>
  <c r="N676" i="17"/>
  <c r="N677" i="17"/>
  <c r="N678" i="17"/>
  <c r="N690" i="17"/>
  <c r="N704" i="17"/>
  <c r="N705" i="17"/>
  <c r="N706" i="17"/>
  <c r="N719" i="17"/>
  <c r="N722" i="17"/>
  <c r="N723" i="17"/>
  <c r="N724" i="17"/>
  <c r="N725" i="17"/>
  <c r="N741" i="17"/>
  <c r="N752" i="17"/>
  <c r="N753" i="17"/>
  <c r="N754" i="17"/>
  <c r="N758" i="17"/>
  <c r="N759" i="17"/>
  <c r="N760" i="17"/>
  <c r="N761" i="17"/>
  <c r="N782" i="17"/>
  <c r="N784" i="17"/>
  <c r="N794" i="17"/>
  <c r="N795" i="17"/>
  <c r="N796" i="17"/>
  <c r="N797" i="17"/>
  <c r="N805" i="17"/>
  <c r="N819" i="17"/>
  <c r="N824" i="17"/>
  <c r="N825" i="17"/>
  <c r="N833" i="17"/>
  <c r="N836" i="17"/>
  <c r="N837" i="17"/>
  <c r="N841" i="17"/>
  <c r="N842" i="17"/>
  <c r="N854" i="17"/>
  <c r="N862" i="17"/>
  <c r="N866" i="17"/>
  <c r="N867" i="17"/>
  <c r="N868" i="17"/>
  <c r="N872" i="17"/>
  <c r="N873" i="17"/>
  <c r="N874" i="17"/>
  <c r="N876" i="17"/>
  <c r="N877" i="17"/>
  <c r="N897" i="17"/>
  <c r="N902" i="17"/>
  <c r="N903" i="17"/>
  <c r="N904" i="17"/>
  <c r="N908" i="17"/>
  <c r="N909" i="17"/>
  <c r="N910" i="17"/>
  <c r="N919" i="17"/>
  <c r="N933" i="17"/>
  <c r="N934" i="17"/>
  <c r="N935" i="17"/>
  <c r="N950" i="17"/>
  <c r="N951" i="17"/>
  <c r="N952" i="17"/>
  <c r="N953" i="17"/>
  <c r="N969" i="17"/>
  <c r="N976" i="17"/>
  <c r="N977" i="17"/>
  <c r="N980" i="17"/>
  <c r="N982" i="17"/>
  <c r="N983" i="17"/>
  <c r="N984" i="17"/>
  <c r="N985" i="17"/>
  <c r="N986" i="17"/>
  <c r="M8" i="17"/>
  <c r="M9" i="17"/>
  <c r="M10" i="17"/>
  <c r="M11" i="17"/>
  <c r="M16" i="17"/>
  <c r="M20" i="17"/>
  <c r="M21" i="17"/>
  <c r="M22" i="17"/>
  <c r="M23" i="17"/>
  <c r="M43" i="17"/>
  <c r="M44" i="17"/>
  <c r="M45" i="17"/>
  <c r="M46" i="17"/>
  <c r="M50" i="17"/>
  <c r="M51" i="17"/>
  <c r="M52" i="17"/>
  <c r="M58" i="17"/>
  <c r="M59" i="17"/>
  <c r="M74" i="17"/>
  <c r="M75" i="17"/>
  <c r="M76" i="17"/>
  <c r="M77" i="17"/>
  <c r="M83" i="17"/>
  <c r="M85" i="17"/>
  <c r="M88" i="17"/>
  <c r="M89" i="17"/>
  <c r="M90" i="17"/>
  <c r="M91" i="17"/>
  <c r="M92" i="17"/>
  <c r="M104" i="17"/>
  <c r="M109" i="17"/>
  <c r="M112" i="17"/>
  <c r="M113" i="17"/>
  <c r="M115" i="17"/>
  <c r="M117" i="17"/>
  <c r="M118" i="17"/>
  <c r="M119" i="17"/>
  <c r="M120" i="17"/>
  <c r="M121" i="17"/>
  <c r="M122" i="17"/>
  <c r="M140" i="17"/>
  <c r="M141" i="17"/>
  <c r="M142" i="17"/>
  <c r="M143" i="17"/>
  <c r="M145" i="17"/>
  <c r="M147" i="17"/>
  <c r="M148" i="17"/>
  <c r="M149" i="17"/>
  <c r="M150" i="17"/>
  <c r="M151" i="17"/>
  <c r="M152" i="17"/>
  <c r="M170" i="17"/>
  <c r="M171" i="17"/>
  <c r="M172" i="17"/>
  <c r="M173" i="17"/>
  <c r="M175" i="17"/>
  <c r="M177" i="17"/>
  <c r="M178" i="17"/>
  <c r="M179" i="17"/>
  <c r="M180" i="17"/>
  <c r="M181" i="17"/>
  <c r="M200" i="17"/>
  <c r="M201" i="17"/>
  <c r="M202" i="17"/>
  <c r="M203" i="17"/>
  <c r="M205" i="17"/>
  <c r="M209" i="17"/>
  <c r="M214" i="17"/>
  <c r="M215" i="17"/>
  <c r="M216" i="17"/>
  <c r="M229" i="17"/>
  <c r="M232" i="17"/>
  <c r="M233" i="17"/>
  <c r="M235" i="17"/>
  <c r="M236" i="17"/>
  <c r="M241" i="17"/>
  <c r="M242" i="17"/>
  <c r="M243" i="17"/>
  <c r="M244" i="17"/>
  <c r="M245" i="17"/>
  <c r="M260" i="17"/>
  <c r="M261" i="17"/>
  <c r="M262" i="17"/>
  <c r="M266" i="17"/>
  <c r="M267" i="17"/>
  <c r="M268" i="17"/>
  <c r="M271" i="17"/>
  <c r="M272" i="17"/>
  <c r="M273" i="17"/>
  <c r="M274" i="17"/>
  <c r="M293" i="17"/>
  <c r="M295" i="17"/>
  <c r="M296" i="17"/>
  <c r="M297" i="17"/>
  <c r="M299" i="17"/>
  <c r="M301" i="17"/>
  <c r="M304" i="17"/>
  <c r="M305" i="17"/>
  <c r="M319" i="17"/>
  <c r="M321" i="17"/>
  <c r="M322" i="17"/>
  <c r="M323" i="17"/>
  <c r="M325" i="17"/>
  <c r="M328" i="17"/>
  <c r="M331" i="17"/>
  <c r="M332" i="17"/>
  <c r="M333" i="17"/>
  <c r="M334" i="17"/>
  <c r="M344" i="17"/>
  <c r="M353" i="17"/>
  <c r="M355" i="17"/>
  <c r="M356" i="17"/>
  <c r="M357" i="17"/>
  <c r="M359" i="17"/>
  <c r="M361" i="17"/>
  <c r="M362" i="17"/>
  <c r="M363" i="17"/>
  <c r="M379" i="17"/>
  <c r="M381" i="17"/>
  <c r="M382" i="17"/>
  <c r="M383" i="17"/>
  <c r="M385" i="17"/>
  <c r="M386" i="17"/>
  <c r="M388" i="17"/>
  <c r="M389" i="17"/>
  <c r="M390" i="17"/>
  <c r="M391" i="17"/>
  <c r="M392" i="17"/>
  <c r="M409" i="17"/>
  <c r="M410" i="17"/>
  <c r="M411" i="17"/>
  <c r="M412" i="17"/>
  <c r="M416" i="17"/>
  <c r="M417" i="17"/>
  <c r="M421" i="17"/>
  <c r="M423" i="17"/>
  <c r="M424" i="17"/>
  <c r="M435" i="17"/>
  <c r="M439" i="17"/>
  <c r="M440" i="17"/>
  <c r="M441" i="17"/>
  <c r="M442" i="17"/>
  <c r="M448" i="17"/>
  <c r="M449" i="17"/>
  <c r="M450" i="17"/>
  <c r="M451" i="17"/>
  <c r="M452" i="17"/>
  <c r="M463" i="17"/>
  <c r="M465" i="17"/>
  <c r="M466" i="17"/>
  <c r="M467" i="17"/>
  <c r="M472" i="17"/>
  <c r="M476" i="17"/>
  <c r="M477" i="17"/>
  <c r="M478" i="17"/>
  <c r="M479" i="17"/>
  <c r="M480" i="17"/>
  <c r="M499" i="17"/>
  <c r="M500" i="17"/>
  <c r="M501" i="17"/>
  <c r="M502" i="17"/>
  <c r="M505" i="17"/>
  <c r="M506" i="17"/>
  <c r="M507" i="17"/>
  <c r="M508" i="17"/>
  <c r="M523" i="17"/>
  <c r="M525" i="17"/>
  <c r="M526" i="17"/>
  <c r="M527" i="17"/>
  <c r="M529" i="17"/>
  <c r="M530" i="17"/>
  <c r="M532" i="17"/>
  <c r="M533" i="17"/>
  <c r="M534" i="17"/>
  <c r="M535" i="17"/>
  <c r="M536" i="17"/>
  <c r="M553" i="17"/>
  <c r="M554" i="17"/>
  <c r="M555" i="17"/>
  <c r="M556" i="17"/>
  <c r="M560" i="17"/>
  <c r="M561" i="17"/>
  <c r="M562" i="17"/>
  <c r="M563" i="17"/>
  <c r="M564" i="17"/>
  <c r="M579" i="17"/>
  <c r="M583" i="17"/>
  <c r="M584" i="17"/>
  <c r="M585" i="17"/>
  <c r="M586" i="17"/>
  <c r="M589" i="17"/>
  <c r="M591" i="17"/>
  <c r="M592" i="17"/>
  <c r="M593" i="17"/>
  <c r="M607" i="17"/>
  <c r="M609" i="17"/>
  <c r="M610" i="17"/>
  <c r="M611" i="17"/>
  <c r="M613" i="17"/>
  <c r="M615" i="17"/>
  <c r="M617" i="17"/>
  <c r="M622" i="17"/>
  <c r="M623" i="17"/>
  <c r="M624" i="17"/>
  <c r="M637" i="17"/>
  <c r="M639" i="17"/>
  <c r="M640" i="17"/>
  <c r="M641" i="17"/>
  <c r="M643" i="17"/>
  <c r="M649" i="17"/>
  <c r="M650" i="17"/>
  <c r="M651" i="17"/>
  <c r="M652" i="17"/>
  <c r="M667" i="17"/>
  <c r="M668" i="17"/>
  <c r="M673" i="17"/>
  <c r="M674" i="17"/>
  <c r="M676" i="17"/>
  <c r="M677" i="17"/>
  <c r="M678" i="17"/>
  <c r="M679" i="17"/>
  <c r="M680" i="17"/>
  <c r="M692" i="17"/>
  <c r="M697" i="17"/>
  <c r="M698" i="17"/>
  <c r="M699" i="17"/>
  <c r="M700" i="17"/>
  <c r="M704" i="17"/>
  <c r="M705" i="17"/>
  <c r="M706" i="17"/>
  <c r="M707" i="17"/>
  <c r="M708" i="17"/>
  <c r="M723" i="17"/>
  <c r="M727" i="17"/>
  <c r="M728" i="17"/>
  <c r="M729" i="17"/>
  <c r="M730" i="17"/>
  <c r="M733" i="17"/>
  <c r="M735" i="17"/>
  <c r="M736" i="17"/>
  <c r="M737" i="17"/>
  <c r="M751" i="17"/>
  <c r="M753" i="17"/>
  <c r="M754" i="17"/>
  <c r="M755" i="17"/>
  <c r="M757" i="17"/>
  <c r="M759" i="17"/>
  <c r="M761" i="17"/>
  <c r="M763" i="17"/>
  <c r="M764" i="17"/>
  <c r="M765" i="17"/>
  <c r="M781" i="17"/>
  <c r="M782" i="17"/>
  <c r="M783" i="17"/>
  <c r="M784" i="17"/>
  <c r="M788" i="17"/>
  <c r="M789" i="17"/>
  <c r="M790" i="17"/>
  <c r="M791" i="17"/>
  <c r="M792" i="17"/>
  <c r="M806" i="17"/>
  <c r="M811" i="17"/>
  <c r="M812" i="17"/>
  <c r="M813" i="17"/>
  <c r="M815" i="17"/>
  <c r="M820" i="17"/>
  <c r="M821" i="17"/>
  <c r="M822" i="17"/>
  <c r="M835" i="17"/>
  <c r="M836" i="17"/>
  <c r="M837" i="17"/>
  <c r="M838" i="17"/>
  <c r="M844" i="17"/>
  <c r="M845" i="17"/>
  <c r="M846" i="17"/>
  <c r="M847" i="17"/>
  <c r="M848" i="17"/>
  <c r="M859" i="17"/>
  <c r="M861" i="17"/>
  <c r="M862" i="17"/>
  <c r="M863" i="17"/>
  <c r="M866" i="17"/>
  <c r="M867" i="17"/>
  <c r="M869" i="17"/>
  <c r="M871" i="17"/>
  <c r="M872" i="17"/>
  <c r="M873" i="17"/>
  <c r="M884" i="17"/>
  <c r="M890" i="17"/>
  <c r="M891" i="17"/>
  <c r="M892" i="17"/>
  <c r="M895" i="17"/>
  <c r="M896" i="17"/>
  <c r="M897" i="17"/>
  <c r="M898" i="17"/>
  <c r="M909" i="17"/>
  <c r="M914" i="17"/>
  <c r="M915" i="17"/>
  <c r="M917" i="17"/>
  <c r="M919" i="17"/>
  <c r="M920" i="17"/>
  <c r="M921" i="17"/>
  <c r="M922" i="17"/>
  <c r="M923" i="17"/>
  <c r="M938" i="17"/>
  <c r="M939" i="17"/>
  <c r="M940" i="17"/>
  <c r="M944" i="17"/>
  <c r="M945" i="17"/>
  <c r="M946" i="17"/>
  <c r="M947" i="17"/>
  <c r="M948" i="17"/>
  <c r="M962" i="17"/>
  <c r="M963" i="17"/>
  <c r="M964" i="17"/>
  <c r="M965" i="17"/>
  <c r="M967" i="17"/>
  <c r="M969" i="17"/>
  <c r="M970" i="17"/>
  <c r="M971" i="17"/>
  <c r="M972" i="17"/>
  <c r="M973" i="17"/>
  <c r="M987" i="17"/>
  <c r="M988" i="17"/>
  <c r="M989" i="17"/>
  <c r="M991" i="17"/>
  <c r="M992" i="17"/>
  <c r="M994" i="17"/>
  <c r="M995" i="17"/>
  <c r="M996" i="17"/>
  <c r="M997" i="17"/>
  <c r="M998" i="17"/>
  <c r="K2" i="17"/>
  <c r="I3" i="17"/>
  <c r="N3" i="17" s="1"/>
  <c r="J3" i="17"/>
  <c r="O3" i="17" s="1"/>
  <c r="K3" i="17"/>
  <c r="L3" i="17"/>
  <c r="M3" i="17" s="1"/>
  <c r="I4" i="17"/>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J8" i="17"/>
  <c r="O8" i="17" s="1"/>
  <c r="K8" i="17"/>
  <c r="L8" i="17"/>
  <c r="I9" i="17"/>
  <c r="J9" i="17"/>
  <c r="O9" i="17" s="1"/>
  <c r="K9" i="17"/>
  <c r="L9" i="17"/>
  <c r="I10" i="17"/>
  <c r="J10" i="17"/>
  <c r="O10" i="17" s="1"/>
  <c r="K10" i="17"/>
  <c r="L10" i="17"/>
  <c r="I11" i="17"/>
  <c r="N11" i="17" s="1"/>
  <c r="J11" i="17"/>
  <c r="O11" i="17" s="1"/>
  <c r="K11" i="17"/>
  <c r="L11" i="17"/>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I21" i="17"/>
  <c r="N21" i="17" s="1"/>
  <c r="J21" i="17"/>
  <c r="O21" i="17" s="1"/>
  <c r="K21" i="17"/>
  <c r="L21" i="17"/>
  <c r="I22" i="17"/>
  <c r="N22" i="17" s="1"/>
  <c r="J22" i="17"/>
  <c r="O22" i="17" s="1"/>
  <c r="K22" i="17"/>
  <c r="L22" i="17"/>
  <c r="I23" i="17"/>
  <c r="N23" i="17" s="1"/>
  <c r="J23" i="17"/>
  <c r="O23" i="17" s="1"/>
  <c r="K23" i="17"/>
  <c r="L23" i="17"/>
  <c r="I24" i="17"/>
  <c r="N24" i="17" s="1"/>
  <c r="J24" i="17"/>
  <c r="O24" i="17" s="1"/>
  <c r="K24" i="17"/>
  <c r="L24" i="17"/>
  <c r="M24" i="17" s="1"/>
  <c r="I25" i="17"/>
  <c r="N25" i="17" s="1"/>
  <c r="J25" i="17"/>
  <c r="O25" i="17" s="1"/>
  <c r="K25" i="17"/>
  <c r="L25" i="17"/>
  <c r="M25" i="17" s="1"/>
  <c r="I26" i="17"/>
  <c r="N26" i="17" s="1"/>
  <c r="J26" i="17"/>
  <c r="O26" i="17" s="1"/>
  <c r="K26" i="17"/>
  <c r="L26" i="17"/>
  <c r="M26" i="17" s="1"/>
  <c r="I27" i="17"/>
  <c r="J27" i="17"/>
  <c r="O27" i="17" s="1"/>
  <c r="K27" i="17"/>
  <c r="L27" i="17"/>
  <c r="M27" i="17" s="1"/>
  <c r="I28" i="17"/>
  <c r="N28" i="17" s="1"/>
  <c r="J28" i="17"/>
  <c r="O28" i="17" s="1"/>
  <c r="K28" i="17"/>
  <c r="L28" i="17"/>
  <c r="M28" i="17" s="1"/>
  <c r="I29" i="17"/>
  <c r="J29" i="17"/>
  <c r="O29" i="17" s="1"/>
  <c r="K29" i="17"/>
  <c r="L29" i="17"/>
  <c r="M29" i="17" s="1"/>
  <c r="I30" i="17"/>
  <c r="J30" i="17"/>
  <c r="O30" i="17" s="1"/>
  <c r="K30" i="17"/>
  <c r="L30" i="17"/>
  <c r="M30" i="17" s="1"/>
  <c r="I31" i="17"/>
  <c r="N31" i="17" s="1"/>
  <c r="J31" i="17"/>
  <c r="O31" i="17" s="1"/>
  <c r="K31" i="17"/>
  <c r="L31" i="17"/>
  <c r="M31" i="17" s="1"/>
  <c r="I32" i="17"/>
  <c r="J32" i="17"/>
  <c r="O32" i="17" s="1"/>
  <c r="K32" i="17"/>
  <c r="L32" i="17"/>
  <c r="M32" i="17" s="1"/>
  <c r="I33" i="17"/>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I44" i="17"/>
  <c r="N44" i="17" s="1"/>
  <c r="J44" i="17"/>
  <c r="O44" i="17" s="1"/>
  <c r="K44" i="17"/>
  <c r="L44" i="17"/>
  <c r="I45" i="17"/>
  <c r="N45" i="17" s="1"/>
  <c r="J45" i="17"/>
  <c r="O45" i="17" s="1"/>
  <c r="K45" i="17"/>
  <c r="L45" i="17"/>
  <c r="I46" i="17"/>
  <c r="N46" i="17" s="1"/>
  <c r="J46" i="17"/>
  <c r="O46" i="17" s="1"/>
  <c r="K46" i="17"/>
  <c r="L46" i="17"/>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I51" i="17"/>
  <c r="N51" i="17" s="1"/>
  <c r="J51" i="17"/>
  <c r="O51" i="17" s="1"/>
  <c r="K51" i="17"/>
  <c r="L51" i="17"/>
  <c r="I52" i="17"/>
  <c r="N52" i="17" s="1"/>
  <c r="J52" i="17"/>
  <c r="O52" i="17" s="1"/>
  <c r="K52" i="17"/>
  <c r="L52" i="17"/>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I59" i="17"/>
  <c r="N59" i="17" s="1"/>
  <c r="J59" i="17"/>
  <c r="O59" i="17" s="1"/>
  <c r="K59" i="17"/>
  <c r="L59" i="17"/>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K63" i="17"/>
  <c r="L63" i="17"/>
  <c r="M63" i="17" s="1"/>
  <c r="I64" i="17"/>
  <c r="N64" i="17" s="1"/>
  <c r="J64" i="17"/>
  <c r="O64" i="17" s="1"/>
  <c r="K64" i="17"/>
  <c r="L64" i="17"/>
  <c r="M64" i="17" s="1"/>
  <c r="I65" i="17"/>
  <c r="N65" i="17" s="1"/>
  <c r="J65" i="17"/>
  <c r="O65" i="17" s="1"/>
  <c r="K65" i="17"/>
  <c r="L65" i="17"/>
  <c r="M65" i="17" s="1"/>
  <c r="I66" i="17"/>
  <c r="N66" i="17" s="1"/>
  <c r="J66" i="17"/>
  <c r="K66" i="17"/>
  <c r="L66" i="17"/>
  <c r="M66" i="17" s="1"/>
  <c r="I67" i="17"/>
  <c r="N67" i="17" s="1"/>
  <c r="J67" i="17"/>
  <c r="O67" i="17" s="1"/>
  <c r="K67" i="17"/>
  <c r="L67" i="17"/>
  <c r="M67" i="17" s="1"/>
  <c r="I68" i="17"/>
  <c r="N68" i="17" s="1"/>
  <c r="J68" i="17"/>
  <c r="K68" i="17"/>
  <c r="L68" i="17"/>
  <c r="M68" i="17" s="1"/>
  <c r="I69" i="17"/>
  <c r="J69" i="17"/>
  <c r="O69" i="17" s="1"/>
  <c r="K69" i="17"/>
  <c r="L69" i="17"/>
  <c r="M69" i="17" s="1"/>
  <c r="I70" i="17"/>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I75" i="17"/>
  <c r="N75" i="17" s="1"/>
  <c r="J75" i="17"/>
  <c r="O75" i="17" s="1"/>
  <c r="K75" i="17"/>
  <c r="L75" i="17"/>
  <c r="I76" i="17"/>
  <c r="N76" i="17" s="1"/>
  <c r="J76" i="17"/>
  <c r="O76" i="17" s="1"/>
  <c r="K76" i="17"/>
  <c r="L76" i="17"/>
  <c r="I77" i="17"/>
  <c r="J77" i="17"/>
  <c r="O77" i="17" s="1"/>
  <c r="K77" i="17"/>
  <c r="L77" i="17"/>
  <c r="I78" i="17"/>
  <c r="N78" i="17" s="1"/>
  <c r="J78" i="17"/>
  <c r="O78" i="17" s="1"/>
  <c r="K78" i="17"/>
  <c r="L78" i="17"/>
  <c r="M78" i="17" s="1"/>
  <c r="I79" i="17"/>
  <c r="N79" i="17" s="1"/>
  <c r="J79" i="17"/>
  <c r="O79" i="17" s="1"/>
  <c r="K79" i="17"/>
  <c r="L79" i="17"/>
  <c r="M79" i="17" s="1"/>
  <c r="I80" i="17"/>
  <c r="J80" i="17"/>
  <c r="O80" i="17" s="1"/>
  <c r="K80" i="17"/>
  <c r="L80" i="17"/>
  <c r="M80" i="17" s="1"/>
  <c r="I81" i="17"/>
  <c r="J81" i="17"/>
  <c r="O81" i="17" s="1"/>
  <c r="K81" i="17"/>
  <c r="L81" i="17"/>
  <c r="M81" i="17" s="1"/>
  <c r="I82" i="17"/>
  <c r="J82" i="17"/>
  <c r="O82" i="17" s="1"/>
  <c r="K82" i="17"/>
  <c r="L82" i="17"/>
  <c r="M82" i="17" s="1"/>
  <c r="I83" i="17"/>
  <c r="N83" i="17" s="1"/>
  <c r="J83" i="17"/>
  <c r="O83" i="17" s="1"/>
  <c r="K83" i="17"/>
  <c r="L83" i="17"/>
  <c r="I84" i="17"/>
  <c r="J84" i="17"/>
  <c r="O84" i="17" s="1"/>
  <c r="K84" i="17"/>
  <c r="L84" i="17"/>
  <c r="M84" i="17" s="1"/>
  <c r="I85" i="17"/>
  <c r="N85" i="17" s="1"/>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I89" i="17"/>
  <c r="N89" i="17" s="1"/>
  <c r="J89" i="17"/>
  <c r="O89" i="17" s="1"/>
  <c r="K89" i="17"/>
  <c r="L89" i="17"/>
  <c r="I90" i="17"/>
  <c r="N90" i="17" s="1"/>
  <c r="J90" i="17"/>
  <c r="O90" i="17" s="1"/>
  <c r="K90" i="17"/>
  <c r="L90" i="17"/>
  <c r="I91" i="17"/>
  <c r="N91" i="17" s="1"/>
  <c r="J91" i="17"/>
  <c r="O91" i="17" s="1"/>
  <c r="K91" i="17"/>
  <c r="L91" i="17"/>
  <c r="I92" i="17"/>
  <c r="N92" i="17" s="1"/>
  <c r="J92" i="17"/>
  <c r="O92" i="17" s="1"/>
  <c r="K92" i="17"/>
  <c r="L92" i="17"/>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K104" i="17"/>
  <c r="L104" i="17"/>
  <c r="I105" i="17"/>
  <c r="N105" i="17" s="1"/>
  <c r="J105" i="17"/>
  <c r="K105" i="17"/>
  <c r="L105" i="17"/>
  <c r="M105" i="17" s="1"/>
  <c r="I106" i="17"/>
  <c r="N106" i="17" s="1"/>
  <c r="J106" i="17"/>
  <c r="K106" i="17"/>
  <c r="L106" i="17"/>
  <c r="M106" i="17" s="1"/>
  <c r="I107" i="17"/>
  <c r="N107" i="17" s="1"/>
  <c r="J107" i="17"/>
  <c r="K107" i="17"/>
  <c r="L107" i="17"/>
  <c r="M107" i="17" s="1"/>
  <c r="I108" i="17"/>
  <c r="N108" i="17" s="1"/>
  <c r="J108" i="17"/>
  <c r="O108" i="17" s="1"/>
  <c r="K108" i="17"/>
  <c r="L108" i="17"/>
  <c r="M108" i="17" s="1"/>
  <c r="I109" i="17"/>
  <c r="N109" i="17" s="1"/>
  <c r="J109" i="17"/>
  <c r="O109" i="17" s="1"/>
  <c r="K109" i="17"/>
  <c r="L109" i="17"/>
  <c r="I110" i="17"/>
  <c r="N110" i="17" s="1"/>
  <c r="J110" i="17"/>
  <c r="O110" i="17" s="1"/>
  <c r="K110" i="17"/>
  <c r="L110" i="17"/>
  <c r="M110" i="17" s="1"/>
  <c r="I111" i="17"/>
  <c r="N111" i="17" s="1"/>
  <c r="J111" i="17"/>
  <c r="O111" i="17" s="1"/>
  <c r="K111" i="17"/>
  <c r="L111" i="17"/>
  <c r="M111" i="17" s="1"/>
  <c r="I112" i="17"/>
  <c r="N112" i="17" s="1"/>
  <c r="J112" i="17"/>
  <c r="O112" i="17" s="1"/>
  <c r="K112" i="17"/>
  <c r="L112" i="17"/>
  <c r="I113" i="17"/>
  <c r="N113" i="17" s="1"/>
  <c r="J113" i="17"/>
  <c r="O113" i="17" s="1"/>
  <c r="K113" i="17"/>
  <c r="L113" i="17"/>
  <c r="I114" i="17"/>
  <c r="N114" i="17" s="1"/>
  <c r="J114" i="17"/>
  <c r="O114" i="17" s="1"/>
  <c r="K114" i="17"/>
  <c r="L114" i="17"/>
  <c r="M114" i="17" s="1"/>
  <c r="I115" i="17"/>
  <c r="N115" i="17" s="1"/>
  <c r="J115" i="17"/>
  <c r="O115" i="17" s="1"/>
  <c r="K115" i="17"/>
  <c r="L115" i="17"/>
  <c r="I116" i="17"/>
  <c r="N116" i="17" s="1"/>
  <c r="J116" i="17"/>
  <c r="O116" i="17" s="1"/>
  <c r="K116" i="17"/>
  <c r="L116" i="17"/>
  <c r="M116" i="17" s="1"/>
  <c r="I117" i="17"/>
  <c r="J117" i="17"/>
  <c r="O117" i="17" s="1"/>
  <c r="K117" i="17"/>
  <c r="L117" i="17"/>
  <c r="I118" i="17"/>
  <c r="J118" i="17"/>
  <c r="O118" i="17" s="1"/>
  <c r="K118" i="17"/>
  <c r="L118" i="17"/>
  <c r="I119" i="17"/>
  <c r="J119" i="17"/>
  <c r="O119" i="17" s="1"/>
  <c r="K119" i="17"/>
  <c r="L119" i="17"/>
  <c r="I120" i="17"/>
  <c r="N120" i="17" s="1"/>
  <c r="J120" i="17"/>
  <c r="O120" i="17" s="1"/>
  <c r="K120" i="17"/>
  <c r="L120" i="17"/>
  <c r="I121" i="17"/>
  <c r="N121" i="17" s="1"/>
  <c r="J121" i="17"/>
  <c r="O121" i="17" s="1"/>
  <c r="K121" i="17"/>
  <c r="L121" i="17"/>
  <c r="I122" i="17"/>
  <c r="N122" i="17" s="1"/>
  <c r="J122" i="17"/>
  <c r="O122" i="17" s="1"/>
  <c r="K122" i="17"/>
  <c r="L122" i="17"/>
  <c r="I123" i="17"/>
  <c r="J123" i="17"/>
  <c r="O123" i="17" s="1"/>
  <c r="K123" i="17"/>
  <c r="L123" i="17"/>
  <c r="M123" i="17" s="1"/>
  <c r="I124" i="17"/>
  <c r="J124" i="17"/>
  <c r="O124" i="17" s="1"/>
  <c r="K124" i="17"/>
  <c r="L124" i="17"/>
  <c r="M124" i="17" s="1"/>
  <c r="I125" i="17"/>
  <c r="J125" i="17"/>
  <c r="O125" i="17" s="1"/>
  <c r="K125" i="17"/>
  <c r="L125" i="17"/>
  <c r="M125" i="17" s="1"/>
  <c r="I126" i="17"/>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I141" i="17"/>
  <c r="N141" i="17" s="1"/>
  <c r="J141" i="17"/>
  <c r="O141" i="17" s="1"/>
  <c r="K141" i="17"/>
  <c r="L141" i="17"/>
  <c r="I142" i="17"/>
  <c r="N142" i="17" s="1"/>
  <c r="J142" i="17"/>
  <c r="O142" i="17" s="1"/>
  <c r="K142" i="17"/>
  <c r="L142" i="17"/>
  <c r="I143" i="17"/>
  <c r="J143" i="17"/>
  <c r="O143" i="17" s="1"/>
  <c r="K143" i="17"/>
  <c r="L143" i="17"/>
  <c r="I144" i="17"/>
  <c r="N144" i="17" s="1"/>
  <c r="J144" i="17"/>
  <c r="O144" i="17" s="1"/>
  <c r="K144" i="17"/>
  <c r="L144" i="17"/>
  <c r="M144" i="17" s="1"/>
  <c r="I145" i="17"/>
  <c r="N145" i="17" s="1"/>
  <c r="J145" i="17"/>
  <c r="O145" i="17" s="1"/>
  <c r="K145" i="17"/>
  <c r="L145" i="17"/>
  <c r="I146" i="17"/>
  <c r="N146" i="17" s="1"/>
  <c r="J146" i="17"/>
  <c r="K146" i="17"/>
  <c r="L146" i="17"/>
  <c r="M146" i="17" s="1"/>
  <c r="I147" i="17"/>
  <c r="N147" i="17" s="1"/>
  <c r="J147" i="17"/>
  <c r="O147" i="17" s="1"/>
  <c r="K147" i="17"/>
  <c r="L147" i="17"/>
  <c r="I148" i="17"/>
  <c r="N148" i="17" s="1"/>
  <c r="J148" i="17"/>
  <c r="O148" i="17" s="1"/>
  <c r="K148" i="17"/>
  <c r="L148" i="17"/>
  <c r="I149" i="17"/>
  <c r="N149" i="17" s="1"/>
  <c r="J149" i="17"/>
  <c r="O149" i="17" s="1"/>
  <c r="K149" i="17"/>
  <c r="L149" i="17"/>
  <c r="I150" i="17"/>
  <c r="N150" i="17" s="1"/>
  <c r="J150" i="17"/>
  <c r="O150" i="17" s="1"/>
  <c r="K150" i="17"/>
  <c r="L150" i="17"/>
  <c r="I151" i="17"/>
  <c r="N151" i="17" s="1"/>
  <c r="J151" i="17"/>
  <c r="O151" i="17" s="1"/>
  <c r="K151" i="17"/>
  <c r="L151" i="17"/>
  <c r="I152" i="17"/>
  <c r="N152" i="17" s="1"/>
  <c r="J152" i="17"/>
  <c r="O152" i="17" s="1"/>
  <c r="K152" i="17"/>
  <c r="L152" i="17"/>
  <c r="I153" i="17"/>
  <c r="N153" i="17" s="1"/>
  <c r="J153" i="17"/>
  <c r="O153" i="17" s="1"/>
  <c r="K153" i="17"/>
  <c r="L153" i="17"/>
  <c r="M153" i="17" s="1"/>
  <c r="I154" i="17"/>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K164" i="17"/>
  <c r="L164" i="17"/>
  <c r="M164" i="17" s="1"/>
  <c r="I165" i="17"/>
  <c r="N165" i="17" s="1"/>
  <c r="J165" i="17"/>
  <c r="O165" i="17" s="1"/>
  <c r="K165" i="17"/>
  <c r="L165" i="17"/>
  <c r="M165" i="17" s="1"/>
  <c r="I166" i="17"/>
  <c r="J166" i="17"/>
  <c r="K166" i="17"/>
  <c r="L166" i="17"/>
  <c r="M166" i="17" s="1"/>
  <c r="I167" i="17"/>
  <c r="N167" i="17" s="1"/>
  <c r="J167" i="17"/>
  <c r="O167" i="17" s="1"/>
  <c r="K167" i="17"/>
  <c r="L167" i="17"/>
  <c r="M167" i="17" s="1"/>
  <c r="I168" i="17"/>
  <c r="N168" i="17" s="1"/>
  <c r="J168" i="17"/>
  <c r="K168" i="17"/>
  <c r="L168" i="17"/>
  <c r="M168" i="17" s="1"/>
  <c r="I169" i="17"/>
  <c r="N169" i="17" s="1"/>
  <c r="J169" i="17"/>
  <c r="O169" i="17" s="1"/>
  <c r="K169" i="17"/>
  <c r="L169" i="17"/>
  <c r="M169" i="17" s="1"/>
  <c r="I170" i="17"/>
  <c r="J170" i="17"/>
  <c r="K170" i="17"/>
  <c r="L170" i="17"/>
  <c r="I171" i="17"/>
  <c r="N171" i="17" s="1"/>
  <c r="J171" i="17"/>
  <c r="O171" i="17" s="1"/>
  <c r="K171" i="17"/>
  <c r="L171" i="17"/>
  <c r="I172" i="17"/>
  <c r="N172" i="17" s="1"/>
  <c r="J172" i="17"/>
  <c r="O172" i="17" s="1"/>
  <c r="K172" i="17"/>
  <c r="L172" i="17"/>
  <c r="I173" i="17"/>
  <c r="N173" i="17" s="1"/>
  <c r="J173" i="17"/>
  <c r="O173" i="17" s="1"/>
  <c r="K173" i="17"/>
  <c r="L173" i="17"/>
  <c r="I174" i="17"/>
  <c r="N174" i="17" s="1"/>
  <c r="J174" i="17"/>
  <c r="O174" i="17" s="1"/>
  <c r="K174" i="17"/>
  <c r="L174" i="17"/>
  <c r="M174" i="17" s="1"/>
  <c r="I175" i="17"/>
  <c r="N175" i="17" s="1"/>
  <c r="J175" i="17"/>
  <c r="O175" i="17" s="1"/>
  <c r="K175" i="17"/>
  <c r="L175" i="17"/>
  <c r="I176" i="17"/>
  <c r="N176" i="17" s="1"/>
  <c r="J176" i="17"/>
  <c r="O176" i="17" s="1"/>
  <c r="K176" i="17"/>
  <c r="L176" i="17"/>
  <c r="M176" i="17" s="1"/>
  <c r="I177" i="17"/>
  <c r="J177" i="17"/>
  <c r="K177" i="17"/>
  <c r="L177" i="17"/>
  <c r="I178" i="17"/>
  <c r="N178" i="17" s="1"/>
  <c r="J178" i="17"/>
  <c r="K178" i="17"/>
  <c r="L178" i="17"/>
  <c r="I179" i="17"/>
  <c r="N179" i="17" s="1"/>
  <c r="J179" i="17"/>
  <c r="K179" i="17"/>
  <c r="L179" i="17"/>
  <c r="I180" i="17"/>
  <c r="N180" i="17" s="1"/>
  <c r="J180" i="17"/>
  <c r="O180" i="17" s="1"/>
  <c r="K180" i="17"/>
  <c r="L180" i="17"/>
  <c r="I181" i="17"/>
  <c r="N181" i="17" s="1"/>
  <c r="J181" i="17"/>
  <c r="O181" i="17" s="1"/>
  <c r="K181" i="17"/>
  <c r="L181" i="17"/>
  <c r="I182" i="17"/>
  <c r="N182" i="17" s="1"/>
  <c r="J182" i="17"/>
  <c r="K182" i="17"/>
  <c r="L182" i="17"/>
  <c r="M182" i="17" s="1"/>
  <c r="I183" i="17"/>
  <c r="N183" i="17" s="1"/>
  <c r="J183" i="17"/>
  <c r="O183" i="17" s="1"/>
  <c r="K183" i="17"/>
  <c r="L183" i="17"/>
  <c r="M183" i="17" s="1"/>
  <c r="I184" i="17"/>
  <c r="J184" i="17"/>
  <c r="O184" i="17" s="1"/>
  <c r="K184" i="17"/>
  <c r="L184" i="17"/>
  <c r="M184" i="17" s="1"/>
  <c r="I185" i="17"/>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I201" i="17"/>
  <c r="N201" i="17" s="1"/>
  <c r="J201" i="17"/>
  <c r="O201" i="17" s="1"/>
  <c r="K201" i="17"/>
  <c r="L201" i="17"/>
  <c r="I202" i="17"/>
  <c r="N202" i="17" s="1"/>
  <c r="J202" i="17"/>
  <c r="O202" i="17" s="1"/>
  <c r="K202" i="17"/>
  <c r="L202" i="17"/>
  <c r="I203" i="17"/>
  <c r="N203" i="17" s="1"/>
  <c r="J203" i="17"/>
  <c r="O203" i="17" s="1"/>
  <c r="K203" i="17"/>
  <c r="L203" i="17"/>
  <c r="I204" i="17"/>
  <c r="N204" i="17" s="1"/>
  <c r="J204" i="17"/>
  <c r="O204" i="17" s="1"/>
  <c r="K204" i="17"/>
  <c r="L204" i="17"/>
  <c r="M204" i="17" s="1"/>
  <c r="I205" i="17"/>
  <c r="N205" i="17" s="1"/>
  <c r="J205" i="17"/>
  <c r="O205" i="17" s="1"/>
  <c r="K205" i="17"/>
  <c r="L205" i="17"/>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I215" i="17"/>
  <c r="N215" i="17" s="1"/>
  <c r="J215" i="17"/>
  <c r="O215" i="17" s="1"/>
  <c r="K215" i="17"/>
  <c r="L215" i="17"/>
  <c r="I216" i="17"/>
  <c r="N216" i="17" s="1"/>
  <c r="J216" i="17"/>
  <c r="O216" i="17" s="1"/>
  <c r="K216" i="17"/>
  <c r="L216" i="17"/>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J224" i="17"/>
  <c r="O224" i="17" s="1"/>
  <c r="K224" i="17"/>
  <c r="L224" i="17"/>
  <c r="M224" i="17" s="1"/>
  <c r="I225" i="17"/>
  <c r="J225" i="17"/>
  <c r="O225" i="17" s="1"/>
  <c r="K225" i="17"/>
  <c r="L225" i="17"/>
  <c r="M225" i="17" s="1"/>
  <c r="I226" i="17"/>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I230" i="17"/>
  <c r="N230" i="17" s="1"/>
  <c r="J230" i="17"/>
  <c r="O230" i="17" s="1"/>
  <c r="K230" i="17"/>
  <c r="L230" i="17"/>
  <c r="M230" i="17" s="1"/>
  <c r="I231" i="17"/>
  <c r="N231" i="17" s="1"/>
  <c r="J231" i="17"/>
  <c r="O231" i="17" s="1"/>
  <c r="K231" i="17"/>
  <c r="L231" i="17"/>
  <c r="M231" i="17" s="1"/>
  <c r="I232" i="17"/>
  <c r="J232" i="17"/>
  <c r="O232" i="17" s="1"/>
  <c r="K232" i="17"/>
  <c r="L232" i="17"/>
  <c r="I233" i="17"/>
  <c r="J233" i="17"/>
  <c r="O233" i="17" s="1"/>
  <c r="K233" i="17"/>
  <c r="L233" i="17"/>
  <c r="I234" i="17"/>
  <c r="J234" i="17"/>
  <c r="K234" i="17"/>
  <c r="L234" i="17"/>
  <c r="M234" i="17" s="1"/>
  <c r="I235" i="17"/>
  <c r="J235" i="17"/>
  <c r="O235" i="17" s="1"/>
  <c r="K235" i="17"/>
  <c r="L235" i="17"/>
  <c r="I236" i="17"/>
  <c r="N236" i="17" s="1"/>
  <c r="J236" i="17"/>
  <c r="K236" i="17"/>
  <c r="L236" i="17"/>
  <c r="I237" i="17"/>
  <c r="J237" i="17"/>
  <c r="O237" i="17" s="1"/>
  <c r="K237" i="17"/>
  <c r="L237" i="17"/>
  <c r="M237" i="17" s="1"/>
  <c r="I238" i="17"/>
  <c r="N238" i="17" s="1"/>
  <c r="J238" i="17"/>
  <c r="K238" i="17"/>
  <c r="L238" i="17"/>
  <c r="M238" i="17" s="1"/>
  <c r="I239" i="17"/>
  <c r="N239" i="17" s="1"/>
  <c r="J239" i="17"/>
  <c r="O239" i="17" s="1"/>
  <c r="K239" i="17"/>
  <c r="L239" i="17"/>
  <c r="M239" i="17" s="1"/>
  <c r="I240" i="17"/>
  <c r="N240" i="17" s="1"/>
  <c r="J240" i="17"/>
  <c r="K240" i="17"/>
  <c r="L240" i="17"/>
  <c r="M240" i="17" s="1"/>
  <c r="I241" i="17"/>
  <c r="N241" i="17" s="1"/>
  <c r="J241" i="17"/>
  <c r="O241" i="17" s="1"/>
  <c r="K241" i="17"/>
  <c r="L241" i="17"/>
  <c r="I242" i="17"/>
  <c r="N242" i="17" s="1"/>
  <c r="J242" i="17"/>
  <c r="K242" i="17"/>
  <c r="L242" i="17"/>
  <c r="I243" i="17"/>
  <c r="N243" i="17" s="1"/>
  <c r="J243" i="17"/>
  <c r="O243" i="17" s="1"/>
  <c r="K243" i="17"/>
  <c r="L243" i="17"/>
  <c r="I244" i="17"/>
  <c r="N244" i="17" s="1"/>
  <c r="J244" i="17"/>
  <c r="O244" i="17" s="1"/>
  <c r="K244" i="17"/>
  <c r="L244" i="17"/>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I261" i="17"/>
  <c r="N261" i="17" s="1"/>
  <c r="J261" i="17"/>
  <c r="O261" i="17" s="1"/>
  <c r="K261" i="17"/>
  <c r="L261" i="17"/>
  <c r="I262" i="17"/>
  <c r="N262" i="17" s="1"/>
  <c r="J262" i="17"/>
  <c r="O262" i="17" s="1"/>
  <c r="K262" i="17"/>
  <c r="L262" i="17"/>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J266" i="17"/>
  <c r="O266" i="17" s="1"/>
  <c r="K266" i="17"/>
  <c r="L266" i="17"/>
  <c r="I267" i="17"/>
  <c r="J267" i="17"/>
  <c r="O267" i="17" s="1"/>
  <c r="K267" i="17"/>
  <c r="L267" i="17"/>
  <c r="I268" i="17"/>
  <c r="J268" i="17"/>
  <c r="O268" i="17" s="1"/>
  <c r="K268" i="17"/>
  <c r="L268" i="17"/>
  <c r="I269" i="17"/>
  <c r="J269" i="17"/>
  <c r="O269" i="17" s="1"/>
  <c r="K269" i="17"/>
  <c r="L269" i="17"/>
  <c r="M269" i="17" s="1"/>
  <c r="I270" i="17"/>
  <c r="N270" i="17" s="1"/>
  <c r="J270" i="17"/>
  <c r="O270" i="17" s="1"/>
  <c r="K270" i="17"/>
  <c r="L270" i="17"/>
  <c r="M270" i="17" s="1"/>
  <c r="I271" i="17"/>
  <c r="N271" i="17" s="1"/>
  <c r="J271" i="17"/>
  <c r="O271" i="17" s="1"/>
  <c r="K271" i="17"/>
  <c r="L271" i="17"/>
  <c r="I272" i="17"/>
  <c r="N272" i="17" s="1"/>
  <c r="J272" i="17"/>
  <c r="O272" i="17" s="1"/>
  <c r="K272" i="17"/>
  <c r="L272" i="17"/>
  <c r="I273" i="17"/>
  <c r="N273" i="17" s="1"/>
  <c r="J273" i="17"/>
  <c r="O273" i="17" s="1"/>
  <c r="K273" i="17"/>
  <c r="L273" i="17"/>
  <c r="I274" i="17"/>
  <c r="N274" i="17" s="1"/>
  <c r="J274" i="17"/>
  <c r="K274" i="17"/>
  <c r="L274" i="17"/>
  <c r="I275" i="17"/>
  <c r="N275" i="17" s="1"/>
  <c r="J275" i="17"/>
  <c r="K275" i="17"/>
  <c r="L275" i="17"/>
  <c r="M275" i="17" s="1"/>
  <c r="I276" i="17"/>
  <c r="N276" i="17" s="1"/>
  <c r="J276" i="17"/>
  <c r="O276" i="17" s="1"/>
  <c r="K276" i="17"/>
  <c r="L276" i="17"/>
  <c r="M276" i="17" s="1"/>
  <c r="I277" i="17"/>
  <c r="N277" i="17" s="1"/>
  <c r="J277" i="17"/>
  <c r="O277" i="17" s="1"/>
  <c r="K277" i="17"/>
  <c r="L277" i="17"/>
  <c r="M277" i="17" s="1"/>
  <c r="I278" i="17"/>
  <c r="N278" i="17" s="1"/>
  <c r="J278" i="17"/>
  <c r="K278" i="17"/>
  <c r="L278" i="17"/>
  <c r="M278" i="17" s="1"/>
  <c r="I279" i="17"/>
  <c r="N279" i="17" s="1"/>
  <c r="J279" i="17"/>
  <c r="O279" i="17" s="1"/>
  <c r="K279" i="17"/>
  <c r="L279" i="17"/>
  <c r="M279" i="17" s="1"/>
  <c r="I280" i="17"/>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J285" i="17"/>
  <c r="O285" i="17" s="1"/>
  <c r="K285" i="17"/>
  <c r="L285" i="17"/>
  <c r="M285" i="17" s="1"/>
  <c r="I286" i="17"/>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J293" i="17"/>
  <c r="O293" i="17" s="1"/>
  <c r="K293" i="17"/>
  <c r="L293" i="17"/>
  <c r="I294" i="17"/>
  <c r="N294" i="17" s="1"/>
  <c r="J294" i="17"/>
  <c r="O294" i="17" s="1"/>
  <c r="K294" i="17"/>
  <c r="L294" i="17"/>
  <c r="M294" i="17" s="1"/>
  <c r="I295" i="17"/>
  <c r="N295" i="17" s="1"/>
  <c r="J295" i="17"/>
  <c r="O295" i="17" s="1"/>
  <c r="K295" i="17"/>
  <c r="L295" i="17"/>
  <c r="I296" i="17"/>
  <c r="N296" i="17" s="1"/>
  <c r="J296" i="17"/>
  <c r="O296" i="17" s="1"/>
  <c r="K296" i="17"/>
  <c r="L296" i="17"/>
  <c r="I297" i="17"/>
  <c r="N297" i="17" s="1"/>
  <c r="J297" i="17"/>
  <c r="O297" i="17" s="1"/>
  <c r="K297" i="17"/>
  <c r="L297" i="17"/>
  <c r="I298" i="17"/>
  <c r="N298" i="17" s="1"/>
  <c r="J298" i="17"/>
  <c r="O298" i="17" s="1"/>
  <c r="K298" i="17"/>
  <c r="L298" i="17"/>
  <c r="M298" i="17" s="1"/>
  <c r="I299" i="17"/>
  <c r="N299" i="17" s="1"/>
  <c r="J299" i="17"/>
  <c r="O299" i="17" s="1"/>
  <c r="K299" i="17"/>
  <c r="L299" i="17"/>
  <c r="I300" i="17"/>
  <c r="N300" i="17" s="1"/>
  <c r="J300" i="17"/>
  <c r="O300" i="17" s="1"/>
  <c r="K300" i="17"/>
  <c r="L300" i="17"/>
  <c r="M300" i="17" s="1"/>
  <c r="I301" i="17"/>
  <c r="N301" i="17" s="1"/>
  <c r="J301" i="17"/>
  <c r="O301" i="17" s="1"/>
  <c r="K301" i="17"/>
  <c r="L301" i="17"/>
  <c r="I302" i="17"/>
  <c r="N302" i="17" s="1"/>
  <c r="J302" i="17"/>
  <c r="O302" i="17" s="1"/>
  <c r="K302" i="17"/>
  <c r="L302" i="17"/>
  <c r="M302" i="17" s="1"/>
  <c r="I303" i="17"/>
  <c r="N303" i="17" s="1"/>
  <c r="J303" i="17"/>
  <c r="O303" i="17" s="1"/>
  <c r="K303" i="17"/>
  <c r="L303" i="17"/>
  <c r="M303" i="17" s="1"/>
  <c r="I304" i="17"/>
  <c r="N304" i="17" s="1"/>
  <c r="J304" i="17"/>
  <c r="O304" i="17" s="1"/>
  <c r="K304" i="17"/>
  <c r="L304" i="17"/>
  <c r="I305" i="17"/>
  <c r="N305" i="17" s="1"/>
  <c r="J305" i="17"/>
  <c r="O305" i="17" s="1"/>
  <c r="K305" i="17"/>
  <c r="L305" i="17"/>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J314" i="17"/>
  <c r="O314" i="17" s="1"/>
  <c r="K314" i="17"/>
  <c r="L314" i="17"/>
  <c r="M314" i="17" s="1"/>
  <c r="I315" i="17"/>
  <c r="N315" i="17" s="1"/>
  <c r="J315" i="17"/>
  <c r="O315" i="17" s="1"/>
  <c r="K315" i="17"/>
  <c r="L315" i="17"/>
  <c r="M315" i="17" s="1"/>
  <c r="I316" i="17"/>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J320" i="17"/>
  <c r="O320" i="17" s="1"/>
  <c r="K320" i="17"/>
  <c r="L320" i="17"/>
  <c r="M320" i="17" s="1"/>
  <c r="I321" i="17"/>
  <c r="N321" i="17" s="1"/>
  <c r="J321" i="17"/>
  <c r="O321" i="17" s="1"/>
  <c r="K321" i="17"/>
  <c r="L321" i="17"/>
  <c r="I322" i="17"/>
  <c r="N322" i="17" s="1"/>
  <c r="J322" i="17"/>
  <c r="O322" i="17" s="1"/>
  <c r="K322" i="17"/>
  <c r="L322" i="17"/>
  <c r="I323" i="17"/>
  <c r="N323" i="17" s="1"/>
  <c r="J323" i="17"/>
  <c r="O323" i="17" s="1"/>
  <c r="K323" i="17"/>
  <c r="L323" i="17"/>
  <c r="I324" i="17"/>
  <c r="N324" i="17" s="1"/>
  <c r="J324" i="17"/>
  <c r="O324" i="17" s="1"/>
  <c r="K324" i="17"/>
  <c r="L324" i="17"/>
  <c r="M324" i="17" s="1"/>
  <c r="I325" i="17"/>
  <c r="N325" i="17" s="1"/>
  <c r="J325" i="17"/>
  <c r="O325" i="17" s="1"/>
  <c r="K325" i="17"/>
  <c r="L325" i="17"/>
  <c r="I326" i="17"/>
  <c r="N326" i="17" s="1"/>
  <c r="J326" i="17"/>
  <c r="O326" i="17" s="1"/>
  <c r="K326" i="17"/>
  <c r="L326" i="17"/>
  <c r="M326" i="17" s="1"/>
  <c r="I327" i="17"/>
  <c r="N327" i="17" s="1"/>
  <c r="J327" i="17"/>
  <c r="O327" i="17" s="1"/>
  <c r="K327" i="17"/>
  <c r="L327" i="17"/>
  <c r="M327" i="17" s="1"/>
  <c r="I328" i="17"/>
  <c r="N328" i="17" s="1"/>
  <c r="J328" i="17"/>
  <c r="O328" i="17" s="1"/>
  <c r="K328" i="17"/>
  <c r="L328" i="17"/>
  <c r="I329" i="17"/>
  <c r="N329" i="17" s="1"/>
  <c r="J329" i="17"/>
  <c r="O329" i="17" s="1"/>
  <c r="K329" i="17"/>
  <c r="L329" i="17"/>
  <c r="M329" i="17" s="1"/>
  <c r="I330" i="17"/>
  <c r="N330" i="17" s="1"/>
  <c r="J330" i="17"/>
  <c r="O330" i="17" s="1"/>
  <c r="K330" i="17"/>
  <c r="L330" i="17"/>
  <c r="M330" i="17" s="1"/>
  <c r="I331" i="17"/>
  <c r="N331" i="17" s="1"/>
  <c r="J331" i="17"/>
  <c r="O331" i="17" s="1"/>
  <c r="K331" i="17"/>
  <c r="L331" i="17"/>
  <c r="I332" i="17"/>
  <c r="N332" i="17" s="1"/>
  <c r="J332" i="17"/>
  <c r="K332" i="17"/>
  <c r="L332" i="17"/>
  <c r="I333" i="17"/>
  <c r="N333" i="17" s="1"/>
  <c r="J333" i="17"/>
  <c r="O333" i="17" s="1"/>
  <c r="K333" i="17"/>
  <c r="L333" i="17"/>
  <c r="I334" i="17"/>
  <c r="N334" i="17" s="1"/>
  <c r="J334" i="17"/>
  <c r="O334" i="17" s="1"/>
  <c r="K334" i="17"/>
  <c r="L334" i="17"/>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J338" i="17"/>
  <c r="K338" i="17"/>
  <c r="L338" i="17"/>
  <c r="M338" i="17" s="1"/>
  <c r="I339" i="17"/>
  <c r="J339" i="17"/>
  <c r="O339" i="17" s="1"/>
  <c r="K339" i="17"/>
  <c r="L339" i="17"/>
  <c r="M339" i="17" s="1"/>
  <c r="I340" i="17"/>
  <c r="J340" i="17"/>
  <c r="O340" i="17" s="1"/>
  <c r="K340" i="17"/>
  <c r="L340" i="17"/>
  <c r="M340" i="17" s="1"/>
  <c r="I341" i="17"/>
  <c r="J341" i="17"/>
  <c r="O341" i="17" s="1"/>
  <c r="K341" i="17"/>
  <c r="L341" i="17"/>
  <c r="M341" i="17" s="1"/>
  <c r="I342" i="17"/>
  <c r="J342" i="17"/>
  <c r="O342" i="17" s="1"/>
  <c r="K342" i="17"/>
  <c r="L342" i="17"/>
  <c r="M342" i="17" s="1"/>
  <c r="I343" i="17"/>
  <c r="N343" i="17" s="1"/>
  <c r="J343" i="17"/>
  <c r="O343" i="17" s="1"/>
  <c r="K343" i="17"/>
  <c r="L343" i="17"/>
  <c r="M343" i="17" s="1"/>
  <c r="I344" i="17"/>
  <c r="N344" i="17" s="1"/>
  <c r="J344" i="17"/>
  <c r="K344" i="17"/>
  <c r="L344" i="17"/>
  <c r="I345" i="17"/>
  <c r="N345" i="17" s="1"/>
  <c r="J345" i="17"/>
  <c r="K345" i="17"/>
  <c r="L345" i="17"/>
  <c r="M345" i="17" s="1"/>
  <c r="I346" i="17"/>
  <c r="N346" i="17" s="1"/>
  <c r="J346" i="17"/>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I354" i="17"/>
  <c r="N354" i="17" s="1"/>
  <c r="J354" i="17"/>
  <c r="O354" i="17" s="1"/>
  <c r="K354" i="17"/>
  <c r="L354" i="17"/>
  <c r="M354" i="17" s="1"/>
  <c r="I355" i="17"/>
  <c r="N355" i="17" s="1"/>
  <c r="J355" i="17"/>
  <c r="O355" i="17" s="1"/>
  <c r="K355" i="17"/>
  <c r="L355" i="17"/>
  <c r="I356" i="17"/>
  <c r="N356" i="17" s="1"/>
  <c r="J356" i="17"/>
  <c r="O356" i="17" s="1"/>
  <c r="K356" i="17"/>
  <c r="L356" i="17"/>
  <c r="I357" i="17"/>
  <c r="N357" i="17" s="1"/>
  <c r="J357" i="17"/>
  <c r="O357" i="17" s="1"/>
  <c r="K357" i="17"/>
  <c r="L357" i="17"/>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I362" i="17"/>
  <c r="N362" i="17" s="1"/>
  <c r="J362" i="17"/>
  <c r="O362" i="17" s="1"/>
  <c r="K362" i="17"/>
  <c r="L362" i="17"/>
  <c r="I363" i="17"/>
  <c r="N363" i="17" s="1"/>
  <c r="J363" i="17"/>
  <c r="O363" i="17" s="1"/>
  <c r="K363" i="17"/>
  <c r="L363" i="17"/>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J374" i="17"/>
  <c r="O374" i="17" s="1"/>
  <c r="K374" i="17"/>
  <c r="L374" i="17"/>
  <c r="M374" i="17" s="1"/>
  <c r="I375" i="17"/>
  <c r="N375" i="17" s="1"/>
  <c r="J375" i="17"/>
  <c r="O375" i="17" s="1"/>
  <c r="K375" i="17"/>
  <c r="L375" i="17"/>
  <c r="M375" i="17" s="1"/>
  <c r="I376" i="17"/>
  <c r="J376" i="17"/>
  <c r="O376" i="17" s="1"/>
  <c r="K376" i="17"/>
  <c r="L376" i="17"/>
  <c r="M376" i="17" s="1"/>
  <c r="I377" i="17"/>
  <c r="J377" i="17"/>
  <c r="O377" i="17" s="1"/>
  <c r="K377" i="17"/>
  <c r="L377" i="17"/>
  <c r="M377" i="17" s="1"/>
  <c r="I378" i="17"/>
  <c r="N378" i="17" s="1"/>
  <c r="J378" i="17"/>
  <c r="O378" i="17" s="1"/>
  <c r="K378" i="17"/>
  <c r="L378" i="17"/>
  <c r="M378" i="17" s="1"/>
  <c r="I379" i="17"/>
  <c r="N379" i="17" s="1"/>
  <c r="J379" i="17"/>
  <c r="O379" i="17" s="1"/>
  <c r="K379" i="17"/>
  <c r="L379" i="17"/>
  <c r="I380" i="17"/>
  <c r="N380" i="17" s="1"/>
  <c r="J380" i="17"/>
  <c r="K380" i="17"/>
  <c r="L380" i="17"/>
  <c r="M380" i="17" s="1"/>
  <c r="I381" i="17"/>
  <c r="J381" i="17"/>
  <c r="O381" i="17" s="1"/>
  <c r="K381" i="17"/>
  <c r="L381" i="17"/>
  <c r="I382" i="17"/>
  <c r="J382" i="17"/>
  <c r="O382" i="17" s="1"/>
  <c r="K382" i="17"/>
  <c r="L382" i="17"/>
  <c r="I383" i="17"/>
  <c r="J383" i="17"/>
  <c r="O383" i="17" s="1"/>
  <c r="K383" i="17"/>
  <c r="L383" i="17"/>
  <c r="I384" i="17"/>
  <c r="N384" i="17" s="1"/>
  <c r="J384" i="17"/>
  <c r="K384" i="17"/>
  <c r="L384" i="17"/>
  <c r="M384" i="17" s="1"/>
  <c r="I385" i="17"/>
  <c r="N385" i="17" s="1"/>
  <c r="J385" i="17"/>
  <c r="O385" i="17" s="1"/>
  <c r="K385" i="17"/>
  <c r="L385" i="17"/>
  <c r="I386" i="17"/>
  <c r="N386" i="17" s="1"/>
  <c r="J386" i="17"/>
  <c r="O386" i="17" s="1"/>
  <c r="K386" i="17"/>
  <c r="L386" i="17"/>
  <c r="I387" i="17"/>
  <c r="N387" i="17" s="1"/>
  <c r="J387" i="17"/>
  <c r="O387" i="17" s="1"/>
  <c r="K387" i="17"/>
  <c r="L387" i="17"/>
  <c r="M387" i="17" s="1"/>
  <c r="I388" i="17"/>
  <c r="N388" i="17" s="1"/>
  <c r="J388" i="17"/>
  <c r="O388" i="17" s="1"/>
  <c r="K388" i="17"/>
  <c r="L388" i="17"/>
  <c r="I389" i="17"/>
  <c r="N389" i="17" s="1"/>
  <c r="J389" i="17"/>
  <c r="O389" i="17" s="1"/>
  <c r="K389" i="17"/>
  <c r="L389" i="17"/>
  <c r="I390" i="17"/>
  <c r="J390" i="17"/>
  <c r="O390" i="17" s="1"/>
  <c r="K390" i="17"/>
  <c r="L390" i="17"/>
  <c r="I391" i="17"/>
  <c r="N391" i="17" s="1"/>
  <c r="J391" i="17"/>
  <c r="O391" i="17" s="1"/>
  <c r="K391" i="17"/>
  <c r="L391" i="17"/>
  <c r="I392" i="17"/>
  <c r="N392" i="17" s="1"/>
  <c r="J392" i="17"/>
  <c r="O392" i="17" s="1"/>
  <c r="K392" i="17"/>
  <c r="L392" i="17"/>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K398" i="17"/>
  <c r="L398" i="17"/>
  <c r="M398" i="17" s="1"/>
  <c r="I399" i="17"/>
  <c r="N399" i="17" s="1"/>
  <c r="J399" i="17"/>
  <c r="O399" i="17" s="1"/>
  <c r="K399" i="17"/>
  <c r="L399" i="17"/>
  <c r="M399" i="17" s="1"/>
  <c r="I400" i="17"/>
  <c r="N400" i="17" s="1"/>
  <c r="J400" i="17"/>
  <c r="K400" i="17"/>
  <c r="L400" i="17"/>
  <c r="M400" i="17" s="1"/>
  <c r="I401" i="17"/>
  <c r="N401" i="17" s="1"/>
  <c r="J401" i="17"/>
  <c r="O401" i="17" s="1"/>
  <c r="K401" i="17"/>
  <c r="L401" i="17"/>
  <c r="M401" i="17" s="1"/>
  <c r="I402" i="17"/>
  <c r="N402" i="17" s="1"/>
  <c r="J402" i="17"/>
  <c r="K402" i="17"/>
  <c r="L402" i="17"/>
  <c r="M402" i="17" s="1"/>
  <c r="I403" i="17"/>
  <c r="N403" i="17" s="1"/>
  <c r="J403" i="17"/>
  <c r="O403" i="17" s="1"/>
  <c r="K403" i="17"/>
  <c r="L403" i="17"/>
  <c r="M403" i="17" s="1"/>
  <c r="I404" i="17"/>
  <c r="N404" i="17" s="1"/>
  <c r="J404" i="17"/>
  <c r="K404" i="17"/>
  <c r="L404" i="17"/>
  <c r="M404" i="17" s="1"/>
  <c r="I405" i="17"/>
  <c r="N405" i="17" s="1"/>
  <c r="J405" i="17"/>
  <c r="O405" i="17" s="1"/>
  <c r="K405" i="17"/>
  <c r="L405" i="17"/>
  <c r="M405" i="17" s="1"/>
  <c r="I406" i="17"/>
  <c r="N406" i="17" s="1"/>
  <c r="J406" i="17"/>
  <c r="K406" i="17"/>
  <c r="L406" i="17"/>
  <c r="M406" i="17" s="1"/>
  <c r="I407" i="17"/>
  <c r="N407" i="17" s="1"/>
  <c r="J407" i="17"/>
  <c r="K407" i="17"/>
  <c r="L407" i="17"/>
  <c r="M407" i="17" s="1"/>
  <c r="I408" i="17"/>
  <c r="N408" i="17" s="1"/>
  <c r="J408" i="17"/>
  <c r="K408" i="17"/>
  <c r="L408" i="17"/>
  <c r="M408" i="17" s="1"/>
  <c r="I409" i="17"/>
  <c r="N409" i="17" s="1"/>
  <c r="J409" i="17"/>
  <c r="O409" i="17" s="1"/>
  <c r="K409" i="17"/>
  <c r="L409" i="17"/>
  <c r="I410" i="17"/>
  <c r="J410" i="17"/>
  <c r="O410" i="17" s="1"/>
  <c r="K410" i="17"/>
  <c r="L410" i="17"/>
  <c r="I411" i="17"/>
  <c r="N411" i="17" s="1"/>
  <c r="J411" i="17"/>
  <c r="O411" i="17" s="1"/>
  <c r="K411" i="17"/>
  <c r="L411" i="17"/>
  <c r="I412" i="17"/>
  <c r="N412" i="17" s="1"/>
  <c r="J412" i="17"/>
  <c r="O412" i="17" s="1"/>
  <c r="K412" i="17"/>
  <c r="L412" i="17"/>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J416" i="17"/>
  <c r="O416" i="17" s="1"/>
  <c r="K416" i="17"/>
  <c r="L416" i="17"/>
  <c r="I417" i="17"/>
  <c r="J417" i="17"/>
  <c r="O417" i="17" s="1"/>
  <c r="K417" i="17"/>
  <c r="L417" i="17"/>
  <c r="I418" i="17"/>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I422" i="17"/>
  <c r="J422" i="17"/>
  <c r="O422" i="17" s="1"/>
  <c r="K422" i="17"/>
  <c r="L422" i="17"/>
  <c r="M422" i="17" s="1"/>
  <c r="I423" i="17"/>
  <c r="N423" i="17" s="1"/>
  <c r="J423" i="17"/>
  <c r="O423" i="17" s="1"/>
  <c r="K423" i="17"/>
  <c r="L423" i="17"/>
  <c r="I424" i="17"/>
  <c r="N424" i="17" s="1"/>
  <c r="J424" i="17"/>
  <c r="O424" i="17" s="1"/>
  <c r="K424" i="17"/>
  <c r="L424" i="17"/>
  <c r="I425" i="17"/>
  <c r="J425" i="17"/>
  <c r="O425" i="17" s="1"/>
  <c r="K425" i="17"/>
  <c r="L425" i="17"/>
  <c r="M425" i="17" s="1"/>
  <c r="I426" i="17"/>
  <c r="J426" i="17"/>
  <c r="O426" i="17" s="1"/>
  <c r="K426" i="17"/>
  <c r="L426" i="17"/>
  <c r="M426" i="17" s="1"/>
  <c r="I427" i="17"/>
  <c r="N427" i="17" s="1"/>
  <c r="J427" i="17"/>
  <c r="O427" i="17" s="1"/>
  <c r="K427" i="17"/>
  <c r="L427" i="17"/>
  <c r="M427" i="17" s="1"/>
  <c r="I428" i="17"/>
  <c r="N428" i="17" s="1"/>
  <c r="J428" i="17"/>
  <c r="O428" i="17" s="1"/>
  <c r="K428" i="17"/>
  <c r="L428" i="17"/>
  <c r="M428" i="17" s="1"/>
  <c r="I429" i="17"/>
  <c r="J429" i="17"/>
  <c r="O429" i="17" s="1"/>
  <c r="K429" i="17"/>
  <c r="L429" i="17"/>
  <c r="M429" i="17" s="1"/>
  <c r="I430" i="17"/>
  <c r="N430" i="17" s="1"/>
  <c r="J430" i="17"/>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I436" i="17"/>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I440" i="17"/>
  <c r="N440" i="17" s="1"/>
  <c r="J440" i="17"/>
  <c r="O440" i="17" s="1"/>
  <c r="K440" i="17"/>
  <c r="L440" i="17"/>
  <c r="I441" i="17"/>
  <c r="N441" i="17" s="1"/>
  <c r="J441" i="17"/>
  <c r="O441" i="17" s="1"/>
  <c r="K441" i="17"/>
  <c r="L441" i="17"/>
  <c r="I442" i="17"/>
  <c r="N442" i="17" s="1"/>
  <c r="J442" i="17"/>
  <c r="O442" i="17" s="1"/>
  <c r="K442" i="17"/>
  <c r="L442" i="17"/>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K447" i="17"/>
  <c r="L447" i="17"/>
  <c r="M447" i="17" s="1"/>
  <c r="I448" i="17"/>
  <c r="N448" i="17" s="1"/>
  <c r="J448" i="17"/>
  <c r="O448" i="17" s="1"/>
  <c r="K448" i="17"/>
  <c r="L448" i="17"/>
  <c r="I449" i="17"/>
  <c r="N449" i="17" s="1"/>
  <c r="J449" i="17"/>
  <c r="O449" i="17" s="1"/>
  <c r="K449" i="17"/>
  <c r="L449" i="17"/>
  <c r="I450" i="17"/>
  <c r="N450" i="17" s="1"/>
  <c r="J450" i="17"/>
  <c r="K450" i="17"/>
  <c r="L450" i="17"/>
  <c r="I451" i="17"/>
  <c r="N451" i="17" s="1"/>
  <c r="J451" i="17"/>
  <c r="O451" i="17" s="1"/>
  <c r="K451" i="17"/>
  <c r="L451" i="17"/>
  <c r="I452" i="17"/>
  <c r="N452" i="17" s="1"/>
  <c r="J452" i="17"/>
  <c r="K452" i="17"/>
  <c r="L452" i="17"/>
  <c r="I453" i="17"/>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J458" i="17"/>
  <c r="O458" i="17" s="1"/>
  <c r="K458" i="17"/>
  <c r="L458" i="17"/>
  <c r="M458" i="17" s="1"/>
  <c r="I459" i="17"/>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I464" i="17"/>
  <c r="N464" i="17" s="1"/>
  <c r="J464" i="17"/>
  <c r="O464" i="17" s="1"/>
  <c r="K464" i="17"/>
  <c r="L464" i="17"/>
  <c r="M464" i="17" s="1"/>
  <c r="I465" i="17"/>
  <c r="N465" i="17" s="1"/>
  <c r="J465" i="17"/>
  <c r="O465" i="17" s="1"/>
  <c r="K465" i="17"/>
  <c r="L465" i="17"/>
  <c r="I466" i="17"/>
  <c r="N466" i="17" s="1"/>
  <c r="J466" i="17"/>
  <c r="O466" i="17" s="1"/>
  <c r="K466" i="17"/>
  <c r="L466" i="17"/>
  <c r="I467" i="17"/>
  <c r="N467" i="17" s="1"/>
  <c r="J467" i="17"/>
  <c r="O467" i="17" s="1"/>
  <c r="K467" i="17"/>
  <c r="L467" i="17"/>
  <c r="I468" i="17"/>
  <c r="N468" i="17" s="1"/>
  <c r="J468" i="17"/>
  <c r="O468" i="17" s="1"/>
  <c r="K468" i="17"/>
  <c r="L468" i="17"/>
  <c r="M468" i="17" s="1"/>
  <c r="I469" i="17"/>
  <c r="N469" i="17" s="1"/>
  <c r="J469" i="17"/>
  <c r="O469" i="17" s="1"/>
  <c r="K469" i="17"/>
  <c r="L469" i="17"/>
  <c r="M469" i="17" s="1"/>
  <c r="I470" i="17"/>
  <c r="J470" i="17"/>
  <c r="O470" i="17" s="1"/>
  <c r="K470" i="17"/>
  <c r="L470" i="17"/>
  <c r="M470" i="17" s="1"/>
  <c r="I471" i="17"/>
  <c r="N471" i="17" s="1"/>
  <c r="J471" i="17"/>
  <c r="O471" i="17" s="1"/>
  <c r="K471" i="17"/>
  <c r="L471" i="17"/>
  <c r="M471" i="17" s="1"/>
  <c r="I472" i="17"/>
  <c r="N472" i="17" s="1"/>
  <c r="J472" i="17"/>
  <c r="O472" i="17" s="1"/>
  <c r="K472" i="17"/>
  <c r="L472" i="17"/>
  <c r="I473" i="17"/>
  <c r="J473" i="17"/>
  <c r="O473" i="17" s="1"/>
  <c r="K473" i="17"/>
  <c r="L473" i="17"/>
  <c r="M473" i="17" s="1"/>
  <c r="I474" i="17"/>
  <c r="J474" i="17"/>
  <c r="K474" i="17"/>
  <c r="L474" i="17"/>
  <c r="M474" i="17" s="1"/>
  <c r="I475" i="17"/>
  <c r="N475" i="17" s="1"/>
  <c r="J475" i="17"/>
  <c r="O475" i="17" s="1"/>
  <c r="K475" i="17"/>
  <c r="L475" i="17"/>
  <c r="M475" i="17" s="1"/>
  <c r="I476" i="17"/>
  <c r="N476" i="17" s="1"/>
  <c r="J476" i="17"/>
  <c r="O476" i="17" s="1"/>
  <c r="K476" i="17"/>
  <c r="L476" i="17"/>
  <c r="I477" i="17"/>
  <c r="J477" i="17"/>
  <c r="O477" i="17" s="1"/>
  <c r="K477" i="17"/>
  <c r="L477" i="17"/>
  <c r="I478" i="17"/>
  <c r="J478" i="17"/>
  <c r="K478" i="17"/>
  <c r="L478" i="17"/>
  <c r="I479" i="17"/>
  <c r="N479" i="17" s="1"/>
  <c r="J479" i="17"/>
  <c r="K479" i="17"/>
  <c r="L479" i="17"/>
  <c r="I480" i="17"/>
  <c r="N480" i="17" s="1"/>
  <c r="J480" i="17"/>
  <c r="K480" i="17"/>
  <c r="L480" i="17"/>
  <c r="I481" i="17"/>
  <c r="N481" i="17" s="1"/>
  <c r="J481" i="17"/>
  <c r="O481" i="17" s="1"/>
  <c r="K481" i="17"/>
  <c r="L481" i="17"/>
  <c r="M481" i="17" s="1"/>
  <c r="I482" i="17"/>
  <c r="N482" i="17" s="1"/>
  <c r="J482" i="17"/>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I500" i="17"/>
  <c r="N500" i="17" s="1"/>
  <c r="J500" i="17"/>
  <c r="O500" i="17" s="1"/>
  <c r="K500" i="17"/>
  <c r="L500" i="17"/>
  <c r="I501" i="17"/>
  <c r="N501" i="17" s="1"/>
  <c r="J501" i="17"/>
  <c r="O501" i="17" s="1"/>
  <c r="K501" i="17"/>
  <c r="L501" i="17"/>
  <c r="I502" i="17"/>
  <c r="N502" i="17" s="1"/>
  <c r="J502" i="17"/>
  <c r="O502" i="17" s="1"/>
  <c r="K502" i="17"/>
  <c r="L502" i="17"/>
  <c r="I503" i="17"/>
  <c r="N503" i="17" s="1"/>
  <c r="J503" i="17"/>
  <c r="O503" i="17" s="1"/>
  <c r="K503" i="17"/>
  <c r="L503" i="17"/>
  <c r="M503" i="17" s="1"/>
  <c r="I504" i="17"/>
  <c r="N504" i="17" s="1"/>
  <c r="J504" i="17"/>
  <c r="O504" i="17" s="1"/>
  <c r="K504" i="17"/>
  <c r="L504" i="17"/>
  <c r="M504" i="17" s="1"/>
  <c r="I505" i="17"/>
  <c r="N505" i="17" s="1"/>
  <c r="J505" i="17"/>
  <c r="O505" i="17" s="1"/>
  <c r="K505" i="17"/>
  <c r="L505" i="17"/>
  <c r="I506" i="17"/>
  <c r="J506" i="17"/>
  <c r="O506" i="17" s="1"/>
  <c r="K506" i="17"/>
  <c r="L506" i="17"/>
  <c r="I507" i="17"/>
  <c r="J507" i="17"/>
  <c r="O507" i="17" s="1"/>
  <c r="K507" i="17"/>
  <c r="L507" i="17"/>
  <c r="I508" i="17"/>
  <c r="J508" i="17"/>
  <c r="O508" i="17" s="1"/>
  <c r="K508" i="17"/>
  <c r="L508" i="17"/>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J512" i="17"/>
  <c r="O512" i="17" s="1"/>
  <c r="K512" i="17"/>
  <c r="L512" i="17"/>
  <c r="M512" i="17" s="1"/>
  <c r="I513" i="17"/>
  <c r="J513" i="17"/>
  <c r="O513" i="17" s="1"/>
  <c r="K513" i="17"/>
  <c r="L513" i="17"/>
  <c r="M513" i="17" s="1"/>
  <c r="I514" i="17"/>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I526" i="17"/>
  <c r="N526" i="17" s="1"/>
  <c r="J526" i="17"/>
  <c r="O526" i="17" s="1"/>
  <c r="K526" i="17"/>
  <c r="L526" i="17"/>
  <c r="I527" i="17"/>
  <c r="N527" i="17" s="1"/>
  <c r="J527" i="17"/>
  <c r="O527" i="17" s="1"/>
  <c r="K527" i="17"/>
  <c r="L527" i="17"/>
  <c r="I528" i="17"/>
  <c r="N528" i="17" s="1"/>
  <c r="J528" i="17"/>
  <c r="O528" i="17" s="1"/>
  <c r="K528" i="17"/>
  <c r="L528" i="17"/>
  <c r="M528" i="17" s="1"/>
  <c r="I529" i="17"/>
  <c r="N529" i="17" s="1"/>
  <c r="J529" i="17"/>
  <c r="O529" i="17" s="1"/>
  <c r="K529" i="17"/>
  <c r="L529" i="17"/>
  <c r="I530" i="17"/>
  <c r="N530" i="17" s="1"/>
  <c r="J530" i="17"/>
  <c r="K530" i="17"/>
  <c r="L530" i="17"/>
  <c r="I531" i="17"/>
  <c r="N531" i="17" s="1"/>
  <c r="J531" i="17"/>
  <c r="O531" i="17" s="1"/>
  <c r="K531" i="17"/>
  <c r="L531" i="17"/>
  <c r="M531" i="17" s="1"/>
  <c r="I532" i="17"/>
  <c r="N532" i="17" s="1"/>
  <c r="J532" i="17"/>
  <c r="O532" i="17" s="1"/>
  <c r="K532" i="17"/>
  <c r="L532" i="17"/>
  <c r="I533" i="17"/>
  <c r="N533" i="17" s="1"/>
  <c r="J533" i="17"/>
  <c r="O533" i="17" s="1"/>
  <c r="K533" i="17"/>
  <c r="L533" i="17"/>
  <c r="I534" i="17"/>
  <c r="N534" i="17" s="1"/>
  <c r="J534" i="17"/>
  <c r="O534" i="17" s="1"/>
  <c r="K534" i="17"/>
  <c r="L534" i="17"/>
  <c r="I535" i="17"/>
  <c r="N535" i="17" s="1"/>
  <c r="J535" i="17"/>
  <c r="O535" i="17" s="1"/>
  <c r="K535" i="17"/>
  <c r="L535" i="17"/>
  <c r="I536" i="17"/>
  <c r="N536" i="17" s="1"/>
  <c r="J536" i="17"/>
  <c r="K536" i="17"/>
  <c r="L536" i="17"/>
  <c r="I537" i="17"/>
  <c r="J537" i="17"/>
  <c r="K537" i="17"/>
  <c r="L537" i="17"/>
  <c r="M537" i="17" s="1"/>
  <c r="I538" i="17"/>
  <c r="N538" i="17" s="1"/>
  <c r="J538" i="17"/>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J542" i="17"/>
  <c r="K542" i="17"/>
  <c r="L542" i="17"/>
  <c r="M542" i="17" s="1"/>
  <c r="I543" i="17"/>
  <c r="N543" i="17" s="1"/>
  <c r="J543" i="17"/>
  <c r="K543" i="17"/>
  <c r="L543" i="17"/>
  <c r="M543" i="17" s="1"/>
  <c r="I544" i="17"/>
  <c r="J544" i="17"/>
  <c r="K544" i="17"/>
  <c r="L544" i="17"/>
  <c r="M544" i="17" s="1"/>
  <c r="I545" i="17"/>
  <c r="N545" i="17" s="1"/>
  <c r="J545" i="17"/>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I554" i="17"/>
  <c r="J554" i="17"/>
  <c r="O554" i="17" s="1"/>
  <c r="K554" i="17"/>
  <c r="L554" i="17"/>
  <c r="I555" i="17"/>
  <c r="J555" i="17"/>
  <c r="O555" i="17" s="1"/>
  <c r="K555" i="17"/>
  <c r="L555" i="17"/>
  <c r="I556" i="17"/>
  <c r="N556" i="17" s="1"/>
  <c r="J556" i="17"/>
  <c r="O556" i="17" s="1"/>
  <c r="K556" i="17"/>
  <c r="L556" i="17"/>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I561" i="17"/>
  <c r="N561" i="17" s="1"/>
  <c r="J561" i="17"/>
  <c r="O561" i="17" s="1"/>
  <c r="K561" i="17"/>
  <c r="L561" i="17"/>
  <c r="I562" i="17"/>
  <c r="J562" i="17"/>
  <c r="O562" i="17" s="1"/>
  <c r="K562" i="17"/>
  <c r="L562" i="17"/>
  <c r="I563" i="17"/>
  <c r="N563" i="17" s="1"/>
  <c r="J563" i="17"/>
  <c r="O563" i="17" s="1"/>
  <c r="K563" i="17"/>
  <c r="L563" i="17"/>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K576" i="17"/>
  <c r="L576" i="17"/>
  <c r="M576" i="17" s="1"/>
  <c r="I577" i="17"/>
  <c r="N577" i="17" s="1"/>
  <c r="J577" i="17"/>
  <c r="O577" i="17" s="1"/>
  <c r="K577" i="17"/>
  <c r="L577" i="17"/>
  <c r="M577" i="17" s="1"/>
  <c r="I578" i="17"/>
  <c r="N578" i="17" s="1"/>
  <c r="J578" i="17"/>
  <c r="K578" i="17"/>
  <c r="L578" i="17"/>
  <c r="M578" i="17" s="1"/>
  <c r="I579" i="17"/>
  <c r="J579" i="17"/>
  <c r="O579" i="17" s="1"/>
  <c r="K579" i="17"/>
  <c r="L579" i="17"/>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I584" i="17"/>
  <c r="J584" i="17"/>
  <c r="O584" i="17" s="1"/>
  <c r="K584" i="17"/>
  <c r="L584" i="17"/>
  <c r="I585" i="17"/>
  <c r="J585" i="17"/>
  <c r="O585" i="17" s="1"/>
  <c r="K585" i="17"/>
  <c r="L585" i="17"/>
  <c r="I586" i="17"/>
  <c r="N586" i="17" s="1"/>
  <c r="J586" i="17"/>
  <c r="O586" i="17" s="1"/>
  <c r="K586" i="17"/>
  <c r="L586" i="17"/>
  <c r="I587" i="17"/>
  <c r="N587" i="17" s="1"/>
  <c r="J587" i="17"/>
  <c r="O587" i="17" s="1"/>
  <c r="K587" i="17"/>
  <c r="L587" i="17"/>
  <c r="M587" i="17" s="1"/>
  <c r="I588" i="17"/>
  <c r="N588" i="17" s="1"/>
  <c r="J588" i="17"/>
  <c r="O588" i="17" s="1"/>
  <c r="K588" i="17"/>
  <c r="L588" i="17"/>
  <c r="M588" i="17" s="1"/>
  <c r="I589" i="17"/>
  <c r="N589" i="17" s="1"/>
  <c r="J589" i="17"/>
  <c r="O589" i="17" s="1"/>
  <c r="K589" i="17"/>
  <c r="L589" i="17"/>
  <c r="I590" i="17"/>
  <c r="N590" i="17" s="1"/>
  <c r="J590" i="17"/>
  <c r="K590" i="17"/>
  <c r="L590" i="17"/>
  <c r="M590" i="17" s="1"/>
  <c r="I591" i="17"/>
  <c r="N591" i="17" s="1"/>
  <c r="J591" i="17"/>
  <c r="K591" i="17"/>
  <c r="L591" i="17"/>
  <c r="I592" i="17"/>
  <c r="N592" i="17" s="1"/>
  <c r="J592" i="17"/>
  <c r="K592" i="17"/>
  <c r="L592" i="17"/>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J597" i="17"/>
  <c r="O597" i="17" s="1"/>
  <c r="K597" i="17"/>
  <c r="L597" i="17"/>
  <c r="M597" i="17" s="1"/>
  <c r="I598" i="17"/>
  <c r="J598" i="17"/>
  <c r="O598" i="17" s="1"/>
  <c r="K598" i="17"/>
  <c r="L598" i="17"/>
  <c r="M598" i="17" s="1"/>
  <c r="I599" i="17"/>
  <c r="J599" i="17"/>
  <c r="O599" i="17" s="1"/>
  <c r="K599" i="17"/>
  <c r="L599" i="17"/>
  <c r="M599" i="17" s="1"/>
  <c r="I600" i="17"/>
  <c r="J600" i="17"/>
  <c r="O600" i="17" s="1"/>
  <c r="K600" i="17"/>
  <c r="L600" i="17"/>
  <c r="M600" i="17" s="1"/>
  <c r="I601" i="17"/>
  <c r="J601" i="17"/>
  <c r="O601" i="17" s="1"/>
  <c r="K601" i="17"/>
  <c r="L601" i="17"/>
  <c r="M601" i="17" s="1"/>
  <c r="I602" i="17"/>
  <c r="N602" i="17" s="1"/>
  <c r="J602" i="17"/>
  <c r="K602" i="17"/>
  <c r="L602" i="17"/>
  <c r="M602" i="17" s="1"/>
  <c r="I603" i="17"/>
  <c r="N603" i="17" s="1"/>
  <c r="J603" i="17"/>
  <c r="O603" i="17" s="1"/>
  <c r="K603" i="17"/>
  <c r="L603" i="17"/>
  <c r="M603" i="17" s="1"/>
  <c r="I604" i="17"/>
  <c r="N604" i="17" s="1"/>
  <c r="J604" i="17"/>
  <c r="K604" i="17"/>
  <c r="L604" i="17"/>
  <c r="M604" i="17" s="1"/>
  <c r="I605" i="17"/>
  <c r="N605" i="17" s="1"/>
  <c r="J605" i="17"/>
  <c r="K605" i="17"/>
  <c r="L605" i="17"/>
  <c r="M605" i="17" s="1"/>
  <c r="I606" i="17"/>
  <c r="N606" i="17" s="1"/>
  <c r="J606" i="17"/>
  <c r="O606" i="17" s="1"/>
  <c r="K606" i="17"/>
  <c r="L606" i="17"/>
  <c r="M606" i="17" s="1"/>
  <c r="I607" i="17"/>
  <c r="N607" i="17" s="1"/>
  <c r="J607" i="17"/>
  <c r="O607" i="17" s="1"/>
  <c r="K607" i="17"/>
  <c r="L607" i="17"/>
  <c r="I608" i="17"/>
  <c r="N608" i="17" s="1"/>
  <c r="J608" i="17"/>
  <c r="K608" i="17"/>
  <c r="L608" i="17"/>
  <c r="M608" i="17" s="1"/>
  <c r="I609" i="17"/>
  <c r="N609" i="17" s="1"/>
  <c r="J609" i="17"/>
  <c r="O609" i="17" s="1"/>
  <c r="K609" i="17"/>
  <c r="L609" i="17"/>
  <c r="I610" i="17"/>
  <c r="N610" i="17" s="1"/>
  <c r="J610" i="17"/>
  <c r="O610" i="17" s="1"/>
  <c r="K610" i="17"/>
  <c r="L610" i="17"/>
  <c r="I611" i="17"/>
  <c r="N611" i="17" s="1"/>
  <c r="J611" i="17"/>
  <c r="O611" i="17" s="1"/>
  <c r="K611" i="17"/>
  <c r="L611" i="17"/>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I623" i="17"/>
  <c r="N623" i="17" s="1"/>
  <c r="J623" i="17"/>
  <c r="O623" i="17" s="1"/>
  <c r="K623" i="17"/>
  <c r="L623" i="17"/>
  <c r="I624" i="17"/>
  <c r="N624" i="17" s="1"/>
  <c r="J624" i="17"/>
  <c r="O624" i="17" s="1"/>
  <c r="K624" i="17"/>
  <c r="L624" i="17"/>
  <c r="I625" i="17"/>
  <c r="N625" i="17" s="1"/>
  <c r="J625" i="17"/>
  <c r="O625" i="17" s="1"/>
  <c r="K625" i="17"/>
  <c r="L625" i="17"/>
  <c r="M625" i="17" s="1"/>
  <c r="I626" i="17"/>
  <c r="J626" i="17"/>
  <c r="O626" i="17" s="1"/>
  <c r="K626" i="17"/>
  <c r="L626" i="17"/>
  <c r="M626" i="17" s="1"/>
  <c r="I627" i="17"/>
  <c r="J627" i="17"/>
  <c r="O627" i="17" s="1"/>
  <c r="K627" i="17"/>
  <c r="L627" i="17"/>
  <c r="M627" i="17" s="1"/>
  <c r="I628" i="17"/>
  <c r="J628" i="17"/>
  <c r="O628" i="17" s="1"/>
  <c r="K628" i="17"/>
  <c r="L628" i="17"/>
  <c r="M628" i="17" s="1"/>
  <c r="I629" i="17"/>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J633" i="17"/>
  <c r="O633" i="17" s="1"/>
  <c r="K633" i="17"/>
  <c r="L633" i="17"/>
  <c r="M633" i="17" s="1"/>
  <c r="I634" i="17"/>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I638" i="17"/>
  <c r="J638" i="17"/>
  <c r="O638" i="17" s="1"/>
  <c r="K638" i="17"/>
  <c r="L638" i="17"/>
  <c r="M638" i="17" s="1"/>
  <c r="I639" i="17"/>
  <c r="N639" i="17" s="1"/>
  <c r="J639" i="17"/>
  <c r="O639" i="17" s="1"/>
  <c r="K639" i="17"/>
  <c r="L639" i="17"/>
  <c r="I640" i="17"/>
  <c r="J640" i="17"/>
  <c r="O640" i="17" s="1"/>
  <c r="K640" i="17"/>
  <c r="L640" i="17"/>
  <c r="I641" i="17"/>
  <c r="J641" i="17"/>
  <c r="O641" i="17" s="1"/>
  <c r="K641" i="17"/>
  <c r="L641" i="17"/>
  <c r="I642" i="17"/>
  <c r="J642" i="17"/>
  <c r="O642" i="17" s="1"/>
  <c r="K642" i="17"/>
  <c r="L642" i="17"/>
  <c r="M642" i="17" s="1"/>
  <c r="I643" i="17"/>
  <c r="N643" i="17" s="1"/>
  <c r="J643" i="17"/>
  <c r="O643" i="17" s="1"/>
  <c r="K643" i="17"/>
  <c r="L643" i="17"/>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K648" i="17"/>
  <c r="L648" i="17"/>
  <c r="M648" i="17" s="1"/>
  <c r="I649" i="17"/>
  <c r="N649" i="17" s="1"/>
  <c r="J649" i="17"/>
  <c r="O649" i="17" s="1"/>
  <c r="K649" i="17"/>
  <c r="L649" i="17"/>
  <c r="I650" i="17"/>
  <c r="N650" i="17" s="1"/>
  <c r="J650" i="17"/>
  <c r="K650" i="17"/>
  <c r="L650" i="17"/>
  <c r="I651" i="17"/>
  <c r="N651" i="17" s="1"/>
  <c r="J651" i="17"/>
  <c r="O651" i="17" s="1"/>
  <c r="K651" i="17"/>
  <c r="L651" i="17"/>
  <c r="I652" i="17"/>
  <c r="N652" i="17" s="1"/>
  <c r="J652" i="17"/>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K656" i="17"/>
  <c r="L656" i="17"/>
  <c r="M656" i="17" s="1"/>
  <c r="I657" i="17"/>
  <c r="N657" i="17" s="1"/>
  <c r="J657" i="17"/>
  <c r="K657" i="17"/>
  <c r="L657" i="17"/>
  <c r="M657" i="17" s="1"/>
  <c r="I658" i="17"/>
  <c r="N658" i="17" s="1"/>
  <c r="J658" i="17"/>
  <c r="K658" i="17"/>
  <c r="L658" i="17"/>
  <c r="M658" i="17" s="1"/>
  <c r="I659" i="17"/>
  <c r="N659" i="17" s="1"/>
  <c r="J659" i="17"/>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I669" i="17"/>
  <c r="J669" i="17"/>
  <c r="O669" i="17" s="1"/>
  <c r="K669" i="17"/>
  <c r="L669" i="17"/>
  <c r="M669" i="17" s="1"/>
  <c r="I670" i="17"/>
  <c r="J670" i="17"/>
  <c r="O670" i="17" s="1"/>
  <c r="K670" i="17"/>
  <c r="L670" i="17"/>
  <c r="M670" i="17" s="1"/>
  <c r="I671" i="17"/>
  <c r="J671" i="17"/>
  <c r="O671" i="17" s="1"/>
  <c r="K671" i="17"/>
  <c r="L671" i="17"/>
  <c r="M671" i="17" s="1"/>
  <c r="I672" i="17"/>
  <c r="N672" i="17" s="1"/>
  <c r="J672" i="17"/>
  <c r="O672" i="17" s="1"/>
  <c r="K672" i="17"/>
  <c r="L672" i="17"/>
  <c r="M672" i="17" s="1"/>
  <c r="I673" i="17"/>
  <c r="N673" i="17" s="1"/>
  <c r="J673" i="17"/>
  <c r="O673" i="17" s="1"/>
  <c r="K673" i="17"/>
  <c r="L673" i="17"/>
  <c r="I674" i="17"/>
  <c r="N674" i="17" s="1"/>
  <c r="J674" i="17"/>
  <c r="O674" i="17" s="1"/>
  <c r="K674" i="17"/>
  <c r="L674" i="17"/>
  <c r="I675" i="17"/>
  <c r="J675" i="17"/>
  <c r="O675" i="17" s="1"/>
  <c r="K675" i="17"/>
  <c r="L675" i="17"/>
  <c r="M675" i="17" s="1"/>
  <c r="I676" i="17"/>
  <c r="J676" i="17"/>
  <c r="O676" i="17" s="1"/>
  <c r="K676" i="17"/>
  <c r="L676" i="17"/>
  <c r="I677" i="17"/>
  <c r="J677" i="17"/>
  <c r="O677" i="17" s="1"/>
  <c r="K677" i="17"/>
  <c r="L677" i="17"/>
  <c r="I678" i="17"/>
  <c r="J678" i="17"/>
  <c r="O678" i="17" s="1"/>
  <c r="K678" i="17"/>
  <c r="L678" i="17"/>
  <c r="I679" i="17"/>
  <c r="N679" i="17" s="1"/>
  <c r="J679" i="17"/>
  <c r="O679" i="17" s="1"/>
  <c r="K679" i="17"/>
  <c r="L679" i="17"/>
  <c r="I680" i="17"/>
  <c r="N680" i="17" s="1"/>
  <c r="J680" i="17"/>
  <c r="O680" i="17" s="1"/>
  <c r="K680" i="17"/>
  <c r="L680" i="17"/>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J690" i="17"/>
  <c r="O690" i="17" s="1"/>
  <c r="K690" i="17"/>
  <c r="L690" i="17"/>
  <c r="M690" i="17" s="1"/>
  <c r="I691" i="17"/>
  <c r="N691" i="17" s="1"/>
  <c r="J691" i="17"/>
  <c r="O691" i="17" s="1"/>
  <c r="K691" i="17"/>
  <c r="L691" i="17"/>
  <c r="M691" i="17" s="1"/>
  <c r="I692" i="17"/>
  <c r="N692" i="17" s="1"/>
  <c r="J692" i="17"/>
  <c r="K692" i="17"/>
  <c r="L692" i="17"/>
  <c r="I693" i="17"/>
  <c r="N693" i="17" s="1"/>
  <c r="J693" i="17"/>
  <c r="K693" i="17"/>
  <c r="L693" i="17"/>
  <c r="M693" i="17" s="1"/>
  <c r="I694" i="17"/>
  <c r="N694" i="17" s="1"/>
  <c r="J694" i="17"/>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I698" i="17"/>
  <c r="N698" i="17" s="1"/>
  <c r="J698" i="17"/>
  <c r="O698" i="17" s="1"/>
  <c r="K698" i="17"/>
  <c r="L698" i="17"/>
  <c r="I699" i="17"/>
  <c r="N699" i="17" s="1"/>
  <c r="J699" i="17"/>
  <c r="O699" i="17" s="1"/>
  <c r="K699" i="17"/>
  <c r="L699" i="17"/>
  <c r="I700" i="17"/>
  <c r="N700" i="17" s="1"/>
  <c r="J700" i="17"/>
  <c r="O700" i="17" s="1"/>
  <c r="K700" i="17"/>
  <c r="L700" i="17"/>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J704" i="17"/>
  <c r="K704" i="17"/>
  <c r="L704" i="17"/>
  <c r="I705" i="17"/>
  <c r="J705" i="17"/>
  <c r="K705" i="17"/>
  <c r="L705" i="17"/>
  <c r="I706" i="17"/>
  <c r="J706" i="17"/>
  <c r="O706" i="17" s="1"/>
  <c r="K706" i="17"/>
  <c r="L706" i="17"/>
  <c r="I707" i="17"/>
  <c r="N707" i="17" s="1"/>
  <c r="J707" i="17"/>
  <c r="O707" i="17" s="1"/>
  <c r="K707" i="17"/>
  <c r="L707" i="17"/>
  <c r="I708" i="17"/>
  <c r="N708" i="17" s="1"/>
  <c r="J708" i="17"/>
  <c r="O708" i="17" s="1"/>
  <c r="K708" i="17"/>
  <c r="L708" i="17"/>
  <c r="I709" i="17"/>
  <c r="N709" i="17" s="1"/>
  <c r="J709" i="17"/>
  <c r="O709" i="17" s="1"/>
  <c r="K709" i="17"/>
  <c r="L709" i="17"/>
  <c r="M709" i="17" s="1"/>
  <c r="I710" i="17"/>
  <c r="N710" i="17" s="1"/>
  <c r="J710" i="17"/>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K718" i="17"/>
  <c r="L718" i="17"/>
  <c r="M718" i="17" s="1"/>
  <c r="I719" i="17"/>
  <c r="J719" i="17"/>
  <c r="K719" i="17"/>
  <c r="L719" i="17"/>
  <c r="M719" i="17" s="1"/>
  <c r="I720" i="17"/>
  <c r="N720" i="17" s="1"/>
  <c r="J720" i="17"/>
  <c r="O720" i="17" s="1"/>
  <c r="K720" i="17"/>
  <c r="L720" i="17"/>
  <c r="M720" i="17" s="1"/>
  <c r="I721" i="17"/>
  <c r="N721" i="17" s="1"/>
  <c r="J721" i="17"/>
  <c r="O721" i="17" s="1"/>
  <c r="K721" i="17"/>
  <c r="L721" i="17"/>
  <c r="M721" i="17" s="1"/>
  <c r="I722" i="17"/>
  <c r="J722" i="17"/>
  <c r="O722" i="17" s="1"/>
  <c r="K722" i="17"/>
  <c r="L722" i="17"/>
  <c r="M722" i="17" s="1"/>
  <c r="I723" i="17"/>
  <c r="J723" i="17"/>
  <c r="O723" i="17" s="1"/>
  <c r="K723" i="17"/>
  <c r="L723" i="17"/>
  <c r="I724" i="17"/>
  <c r="J724" i="17"/>
  <c r="O724" i="17" s="1"/>
  <c r="K724" i="17"/>
  <c r="L724" i="17"/>
  <c r="M724" i="17" s="1"/>
  <c r="I725" i="17"/>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O728" i="17" s="1"/>
  <c r="K728" i="17"/>
  <c r="L728" i="17"/>
  <c r="I729" i="17"/>
  <c r="N729" i="17" s="1"/>
  <c r="J729" i="17"/>
  <c r="O729" i="17" s="1"/>
  <c r="K729" i="17"/>
  <c r="L729" i="17"/>
  <c r="I730" i="17"/>
  <c r="N730" i="17" s="1"/>
  <c r="J730" i="17"/>
  <c r="O730" i="17" s="1"/>
  <c r="K730" i="17"/>
  <c r="L730" i="17"/>
  <c r="I731" i="17"/>
  <c r="N731" i="17" s="1"/>
  <c r="J731" i="17"/>
  <c r="O731" i="17" s="1"/>
  <c r="K731" i="17"/>
  <c r="L731" i="17"/>
  <c r="M731" i="17" s="1"/>
  <c r="I732" i="17"/>
  <c r="N732" i="17" s="1"/>
  <c r="J732" i="17"/>
  <c r="O732" i="17" s="1"/>
  <c r="K732" i="17"/>
  <c r="L732" i="17"/>
  <c r="M732" i="17" s="1"/>
  <c r="I733" i="17"/>
  <c r="N733" i="17" s="1"/>
  <c r="J733" i="17"/>
  <c r="O733" i="17" s="1"/>
  <c r="K733" i="17"/>
  <c r="L733" i="17"/>
  <c r="I734" i="17"/>
  <c r="N734" i="17" s="1"/>
  <c r="J734" i="17"/>
  <c r="O734" i="17" s="1"/>
  <c r="K734" i="17"/>
  <c r="L734" i="17"/>
  <c r="M734" i="17" s="1"/>
  <c r="I735" i="17"/>
  <c r="N735" i="17" s="1"/>
  <c r="J735" i="17"/>
  <c r="O735" i="17" s="1"/>
  <c r="K735" i="17"/>
  <c r="L735" i="17"/>
  <c r="I736" i="17"/>
  <c r="N736" i="17" s="1"/>
  <c r="J736" i="17"/>
  <c r="O736" i="17" s="1"/>
  <c r="K736" i="17"/>
  <c r="L736" i="17"/>
  <c r="I737" i="17"/>
  <c r="N737" i="17" s="1"/>
  <c r="J737" i="17"/>
  <c r="O737" i="17" s="1"/>
  <c r="K737" i="17"/>
  <c r="L737" i="17"/>
  <c r="I738" i="17"/>
  <c r="N738" i="17" s="1"/>
  <c r="J738" i="17"/>
  <c r="O738" i="17" s="1"/>
  <c r="K738" i="17"/>
  <c r="L738" i="17"/>
  <c r="M738" i="17" s="1"/>
  <c r="I739" i="17"/>
  <c r="N739" i="17" s="1"/>
  <c r="J739" i="17"/>
  <c r="O739" i="17" s="1"/>
  <c r="K739" i="17"/>
  <c r="L739" i="17"/>
  <c r="M739" i="17" s="1"/>
  <c r="I740" i="17"/>
  <c r="N740" i="17" s="1"/>
  <c r="J740" i="17"/>
  <c r="K740" i="17"/>
  <c r="L740" i="17"/>
  <c r="M740" i="17" s="1"/>
  <c r="I741" i="17"/>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I752" i="17"/>
  <c r="J752" i="17"/>
  <c r="O752" i="17" s="1"/>
  <c r="K752" i="17"/>
  <c r="L752" i="17"/>
  <c r="M752" i="17" s="1"/>
  <c r="I753" i="17"/>
  <c r="J753" i="17"/>
  <c r="O753" i="17" s="1"/>
  <c r="K753" i="17"/>
  <c r="L753" i="17"/>
  <c r="I754" i="17"/>
  <c r="J754" i="17"/>
  <c r="O754" i="17" s="1"/>
  <c r="K754" i="17"/>
  <c r="L754" i="17"/>
  <c r="I755" i="17"/>
  <c r="N755" i="17" s="1"/>
  <c r="J755" i="17"/>
  <c r="O755" i="17" s="1"/>
  <c r="K755" i="17"/>
  <c r="L755" i="17"/>
  <c r="I756" i="17"/>
  <c r="N756" i="17" s="1"/>
  <c r="J756" i="17"/>
  <c r="O756" i="17" s="1"/>
  <c r="K756" i="17"/>
  <c r="L756" i="17"/>
  <c r="M756" i="17" s="1"/>
  <c r="I757" i="17"/>
  <c r="N757" i="17" s="1"/>
  <c r="J757" i="17"/>
  <c r="O757" i="17" s="1"/>
  <c r="K757" i="17"/>
  <c r="L757" i="17"/>
  <c r="I758" i="17"/>
  <c r="J758" i="17"/>
  <c r="O758" i="17" s="1"/>
  <c r="K758" i="17"/>
  <c r="L758" i="17"/>
  <c r="M758" i="17" s="1"/>
  <c r="I759" i="17"/>
  <c r="J759" i="17"/>
  <c r="O759" i="17" s="1"/>
  <c r="K759" i="17"/>
  <c r="L759" i="17"/>
  <c r="I760" i="17"/>
  <c r="J760" i="17"/>
  <c r="O760" i="17" s="1"/>
  <c r="K760" i="17"/>
  <c r="L760" i="17"/>
  <c r="M760" i="17" s="1"/>
  <c r="I761" i="17"/>
  <c r="J761" i="17"/>
  <c r="O761" i="17" s="1"/>
  <c r="K761" i="17"/>
  <c r="L761" i="17"/>
  <c r="I762" i="17"/>
  <c r="N762" i="17" s="1"/>
  <c r="J762" i="17"/>
  <c r="K762" i="17"/>
  <c r="L762" i="17"/>
  <c r="M762" i="17" s="1"/>
  <c r="I763" i="17"/>
  <c r="N763" i="17" s="1"/>
  <c r="J763" i="17"/>
  <c r="O763" i="17" s="1"/>
  <c r="K763" i="17"/>
  <c r="L763" i="17"/>
  <c r="I764" i="17"/>
  <c r="N764" i="17" s="1"/>
  <c r="J764" i="17"/>
  <c r="K764" i="17"/>
  <c r="L764" i="17"/>
  <c r="I765" i="17"/>
  <c r="N765" i="17" s="1"/>
  <c r="J765" i="17"/>
  <c r="O765" i="17" s="1"/>
  <c r="K765" i="17"/>
  <c r="L765" i="17"/>
  <c r="I766" i="17"/>
  <c r="N766" i="17" s="1"/>
  <c r="J766" i="17"/>
  <c r="K766" i="17"/>
  <c r="L766" i="17"/>
  <c r="M766" i="17" s="1"/>
  <c r="I767" i="17"/>
  <c r="N767" i="17" s="1"/>
  <c r="J767" i="17"/>
  <c r="K767" i="17"/>
  <c r="L767" i="17"/>
  <c r="M767" i="17" s="1"/>
  <c r="I768" i="17"/>
  <c r="N768" i="17" s="1"/>
  <c r="J768" i="17"/>
  <c r="K768" i="17"/>
  <c r="L768" i="17"/>
  <c r="M768" i="17" s="1"/>
  <c r="I769" i="17"/>
  <c r="N769" i="17" s="1"/>
  <c r="J769" i="17"/>
  <c r="O769" i="17" s="1"/>
  <c r="K769" i="17"/>
  <c r="L769" i="17"/>
  <c r="M769" i="17" s="1"/>
  <c r="I770" i="17"/>
  <c r="N770" i="17" s="1"/>
  <c r="J770" i="17"/>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I782" i="17"/>
  <c r="J782" i="17"/>
  <c r="O782" i="17" s="1"/>
  <c r="K782" i="17"/>
  <c r="L782" i="17"/>
  <c r="I783" i="17"/>
  <c r="N783" i="17" s="1"/>
  <c r="J783" i="17"/>
  <c r="O783" i="17" s="1"/>
  <c r="K783" i="17"/>
  <c r="L783" i="17"/>
  <c r="I784" i="17"/>
  <c r="J784" i="17"/>
  <c r="O784" i="17" s="1"/>
  <c r="K784" i="17"/>
  <c r="L784" i="17"/>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I789" i="17"/>
  <c r="N789" i="17" s="1"/>
  <c r="J789" i="17"/>
  <c r="O789" i="17" s="1"/>
  <c r="K789" i="17"/>
  <c r="L789" i="17"/>
  <c r="I790" i="17"/>
  <c r="N790" i="17" s="1"/>
  <c r="J790" i="17"/>
  <c r="O790" i="17" s="1"/>
  <c r="K790" i="17"/>
  <c r="L790" i="17"/>
  <c r="I791" i="17"/>
  <c r="N791" i="17" s="1"/>
  <c r="J791" i="17"/>
  <c r="O791" i="17" s="1"/>
  <c r="K791" i="17"/>
  <c r="L791" i="17"/>
  <c r="I792" i="17"/>
  <c r="N792" i="17" s="1"/>
  <c r="J792" i="17"/>
  <c r="O792" i="17" s="1"/>
  <c r="K792" i="17"/>
  <c r="L792" i="17"/>
  <c r="I793" i="17"/>
  <c r="N793" i="17" s="1"/>
  <c r="J793" i="17"/>
  <c r="O793" i="17" s="1"/>
  <c r="K793" i="17"/>
  <c r="L793" i="17"/>
  <c r="M793" i="17" s="1"/>
  <c r="I794" i="17"/>
  <c r="J794" i="17"/>
  <c r="O794" i="17" s="1"/>
  <c r="K794" i="17"/>
  <c r="L794" i="17"/>
  <c r="M794" i="17" s="1"/>
  <c r="I795" i="17"/>
  <c r="J795" i="17"/>
  <c r="O795" i="17" s="1"/>
  <c r="K795" i="17"/>
  <c r="L795" i="17"/>
  <c r="M795" i="17" s="1"/>
  <c r="I796" i="17"/>
  <c r="J796" i="17"/>
  <c r="O796" i="17" s="1"/>
  <c r="K796" i="17"/>
  <c r="L796" i="17"/>
  <c r="M796" i="17" s="1"/>
  <c r="I797" i="17"/>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J805" i="17"/>
  <c r="O805" i="17" s="1"/>
  <c r="K805" i="17"/>
  <c r="L805" i="17"/>
  <c r="M805" i="17" s="1"/>
  <c r="I806" i="17"/>
  <c r="N806" i="17" s="1"/>
  <c r="J806" i="17"/>
  <c r="K806" i="17"/>
  <c r="L806" i="17"/>
  <c r="I807" i="17"/>
  <c r="N807" i="17" s="1"/>
  <c r="J807" i="17"/>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I813" i="17"/>
  <c r="N813" i="17" s="1"/>
  <c r="J813" i="17"/>
  <c r="O813" i="17" s="1"/>
  <c r="K813" i="17"/>
  <c r="L813" i="17"/>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O817" i="17" s="1"/>
  <c r="K817" i="17"/>
  <c r="L817" i="17"/>
  <c r="M817" i="17" s="1"/>
  <c r="I818" i="17"/>
  <c r="N818" i="17" s="1"/>
  <c r="J818" i="17"/>
  <c r="K818" i="17"/>
  <c r="L818" i="17"/>
  <c r="M818" i="17" s="1"/>
  <c r="I819" i="17"/>
  <c r="J819" i="17"/>
  <c r="O819" i="17" s="1"/>
  <c r="K819" i="17"/>
  <c r="L819" i="17"/>
  <c r="M819" i="17" s="1"/>
  <c r="I820" i="17"/>
  <c r="N820" i="17" s="1"/>
  <c r="J820" i="17"/>
  <c r="K820" i="17"/>
  <c r="L820" i="17"/>
  <c r="I821" i="17"/>
  <c r="N821" i="17" s="1"/>
  <c r="J821" i="17"/>
  <c r="K821" i="17"/>
  <c r="L821" i="17"/>
  <c r="I822" i="17"/>
  <c r="N822" i="17" s="1"/>
  <c r="J822" i="17"/>
  <c r="O822" i="17" s="1"/>
  <c r="K822" i="17"/>
  <c r="L822" i="17"/>
  <c r="I823" i="17"/>
  <c r="N823" i="17" s="1"/>
  <c r="J823" i="17"/>
  <c r="O823" i="17" s="1"/>
  <c r="K823" i="17"/>
  <c r="L823" i="17"/>
  <c r="M823" i="17" s="1"/>
  <c r="I824" i="17"/>
  <c r="J824" i="17"/>
  <c r="K824" i="17"/>
  <c r="L824" i="17"/>
  <c r="M824" i="17" s="1"/>
  <c r="I825" i="17"/>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J833" i="17"/>
  <c r="O833" i="17" s="1"/>
  <c r="K833" i="17"/>
  <c r="L833" i="17"/>
  <c r="M833" i="17" s="1"/>
  <c r="I834" i="17"/>
  <c r="N834" i="17" s="1"/>
  <c r="J834" i="17"/>
  <c r="O834" i="17" s="1"/>
  <c r="K834" i="17"/>
  <c r="L834" i="17"/>
  <c r="M834" i="17" s="1"/>
  <c r="I835" i="17"/>
  <c r="N835" i="17" s="1"/>
  <c r="J835" i="17"/>
  <c r="O835" i="17" s="1"/>
  <c r="K835" i="17"/>
  <c r="L835" i="17"/>
  <c r="I836" i="17"/>
  <c r="J836" i="17"/>
  <c r="O836" i="17" s="1"/>
  <c r="K836" i="17"/>
  <c r="L836" i="17"/>
  <c r="I837" i="17"/>
  <c r="J837" i="17"/>
  <c r="O837" i="17" s="1"/>
  <c r="K837" i="17"/>
  <c r="L837" i="17"/>
  <c r="I838" i="17"/>
  <c r="N838" i="17" s="1"/>
  <c r="J838" i="17"/>
  <c r="O838" i="17" s="1"/>
  <c r="K838" i="17"/>
  <c r="L838" i="17"/>
  <c r="I839" i="17"/>
  <c r="N839" i="17" s="1"/>
  <c r="J839" i="17"/>
  <c r="O839" i="17" s="1"/>
  <c r="K839" i="17"/>
  <c r="L839" i="17"/>
  <c r="M839" i="17" s="1"/>
  <c r="I840" i="17"/>
  <c r="N840" i="17" s="1"/>
  <c r="J840" i="17"/>
  <c r="O840" i="17" s="1"/>
  <c r="K840" i="17"/>
  <c r="L840" i="17"/>
  <c r="M840" i="17" s="1"/>
  <c r="I841" i="17"/>
  <c r="J841" i="17"/>
  <c r="O841" i="17" s="1"/>
  <c r="K841" i="17"/>
  <c r="L841" i="17"/>
  <c r="M841" i="17" s="1"/>
  <c r="I842" i="17"/>
  <c r="J842" i="17"/>
  <c r="O842" i="17" s="1"/>
  <c r="K842" i="17"/>
  <c r="L842" i="17"/>
  <c r="M842" i="17" s="1"/>
  <c r="I843" i="17"/>
  <c r="N843" i="17" s="1"/>
  <c r="J843" i="17"/>
  <c r="O843" i="17" s="1"/>
  <c r="K843" i="17"/>
  <c r="L843" i="17"/>
  <c r="M843" i="17" s="1"/>
  <c r="I844" i="17"/>
  <c r="N844" i="17" s="1"/>
  <c r="J844" i="17"/>
  <c r="O844" i="17" s="1"/>
  <c r="K844" i="17"/>
  <c r="L844" i="17"/>
  <c r="I845" i="17"/>
  <c r="N845" i="17" s="1"/>
  <c r="J845" i="17"/>
  <c r="O845" i="17" s="1"/>
  <c r="K845" i="17"/>
  <c r="L845" i="17"/>
  <c r="I846" i="17"/>
  <c r="N846" i="17" s="1"/>
  <c r="J846" i="17"/>
  <c r="O846" i="17" s="1"/>
  <c r="K846" i="17"/>
  <c r="L846" i="17"/>
  <c r="I847" i="17"/>
  <c r="N847" i="17" s="1"/>
  <c r="J847" i="17"/>
  <c r="O847" i="17" s="1"/>
  <c r="K847" i="17"/>
  <c r="L847" i="17"/>
  <c r="I848" i="17"/>
  <c r="N848" i="17" s="1"/>
  <c r="J848" i="17"/>
  <c r="O848" i="17" s="1"/>
  <c r="K848" i="17"/>
  <c r="L848" i="17"/>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J854" i="17"/>
  <c r="O854" i="17" s="1"/>
  <c r="K854" i="17"/>
  <c r="L854" i="17"/>
  <c r="M854" i="17" s="1"/>
  <c r="I855" i="17"/>
  <c r="N855" i="17" s="1"/>
  <c r="J855" i="17"/>
  <c r="K855" i="17"/>
  <c r="L855" i="17"/>
  <c r="M855" i="17" s="1"/>
  <c r="I856" i="17"/>
  <c r="N856" i="17" s="1"/>
  <c r="J856" i="17"/>
  <c r="O856" i="17" s="1"/>
  <c r="K856" i="17"/>
  <c r="L856" i="17"/>
  <c r="M856" i="17" s="1"/>
  <c r="I857" i="17"/>
  <c r="N857" i="17" s="1"/>
  <c r="J857" i="17"/>
  <c r="O857" i="17" s="1"/>
  <c r="K857" i="17"/>
  <c r="L857" i="17"/>
  <c r="M857" i="17" s="1"/>
  <c r="I858" i="17"/>
  <c r="N858" i="17" s="1"/>
  <c r="J858" i="17"/>
  <c r="K858" i="17"/>
  <c r="L858" i="17"/>
  <c r="M858" i="17" s="1"/>
  <c r="I859" i="17"/>
  <c r="N859" i="17" s="1"/>
  <c r="J859" i="17"/>
  <c r="O859" i="17" s="1"/>
  <c r="K859" i="17"/>
  <c r="L859" i="17"/>
  <c r="I860" i="17"/>
  <c r="N860" i="17" s="1"/>
  <c r="J860" i="17"/>
  <c r="K860" i="17"/>
  <c r="L860" i="17"/>
  <c r="M860" i="17" s="1"/>
  <c r="I861" i="17"/>
  <c r="N861" i="17" s="1"/>
  <c r="J861" i="17"/>
  <c r="O861" i="17" s="1"/>
  <c r="K861" i="17"/>
  <c r="L861" i="17"/>
  <c r="I862" i="17"/>
  <c r="J862" i="17"/>
  <c r="O862" i="17" s="1"/>
  <c r="K862" i="17"/>
  <c r="L862" i="17"/>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J866" i="17"/>
  <c r="O866" i="17" s="1"/>
  <c r="K866" i="17"/>
  <c r="L866" i="17"/>
  <c r="I867" i="17"/>
  <c r="J867" i="17"/>
  <c r="O867" i="17" s="1"/>
  <c r="K867" i="17"/>
  <c r="L867" i="17"/>
  <c r="I868" i="17"/>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I872" i="17"/>
  <c r="J872" i="17"/>
  <c r="O872" i="17" s="1"/>
  <c r="K872" i="17"/>
  <c r="L872" i="17"/>
  <c r="I873" i="17"/>
  <c r="J873" i="17"/>
  <c r="O873" i="17" s="1"/>
  <c r="K873" i="17"/>
  <c r="L873" i="17"/>
  <c r="I874" i="17"/>
  <c r="J874" i="17"/>
  <c r="O874" i="17" s="1"/>
  <c r="K874" i="17"/>
  <c r="L874" i="17"/>
  <c r="M874" i="17" s="1"/>
  <c r="I875" i="17"/>
  <c r="N875" i="17" s="1"/>
  <c r="J875" i="17"/>
  <c r="O875" i="17" s="1"/>
  <c r="K875" i="17"/>
  <c r="L875" i="17"/>
  <c r="M875" i="17" s="1"/>
  <c r="I876" i="17"/>
  <c r="J876" i="17"/>
  <c r="O876" i="17" s="1"/>
  <c r="K876" i="17"/>
  <c r="L876" i="17"/>
  <c r="M876" i="17" s="1"/>
  <c r="I877" i="17"/>
  <c r="J877" i="17"/>
  <c r="O877" i="17" s="1"/>
  <c r="K877" i="17"/>
  <c r="L877" i="17"/>
  <c r="M877" i="17" s="1"/>
  <c r="I878" i="17"/>
  <c r="N878" i="17" s="1"/>
  <c r="J878" i="17"/>
  <c r="O878" i="17" s="1"/>
  <c r="K878" i="17"/>
  <c r="L878" i="17"/>
  <c r="M878" i="17" s="1"/>
  <c r="I879" i="17"/>
  <c r="N879" i="17" s="1"/>
  <c r="J879" i="17"/>
  <c r="K879" i="17"/>
  <c r="L879" i="17"/>
  <c r="M879" i="17" s="1"/>
  <c r="I880" i="17"/>
  <c r="N880" i="17" s="1"/>
  <c r="J880" i="17"/>
  <c r="K880" i="17"/>
  <c r="L880" i="17"/>
  <c r="M880" i="17" s="1"/>
  <c r="I881" i="17"/>
  <c r="N881" i="17" s="1"/>
  <c r="J881" i="17"/>
  <c r="K881" i="17"/>
  <c r="L881" i="17"/>
  <c r="M881" i="17" s="1"/>
  <c r="I882" i="17"/>
  <c r="N882" i="17" s="1"/>
  <c r="J882" i="17"/>
  <c r="K882" i="17"/>
  <c r="L882" i="17"/>
  <c r="M882" i="17" s="1"/>
  <c r="I883" i="17"/>
  <c r="N883" i="17" s="1"/>
  <c r="J883" i="17"/>
  <c r="O883" i="17" s="1"/>
  <c r="K883" i="17"/>
  <c r="L883" i="17"/>
  <c r="M883" i="17" s="1"/>
  <c r="I884" i="17"/>
  <c r="N884" i="17" s="1"/>
  <c r="J884" i="17"/>
  <c r="O884" i="17" s="1"/>
  <c r="K884" i="17"/>
  <c r="L884" i="17"/>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I891" i="17"/>
  <c r="N891" i="17" s="1"/>
  <c r="J891" i="17"/>
  <c r="O891" i="17" s="1"/>
  <c r="K891" i="17"/>
  <c r="L891" i="17"/>
  <c r="I892" i="17"/>
  <c r="N892" i="17" s="1"/>
  <c r="J892" i="17"/>
  <c r="O892" i="17" s="1"/>
  <c r="K892" i="17"/>
  <c r="L892" i="17"/>
  <c r="I893" i="17"/>
  <c r="N893" i="17" s="1"/>
  <c r="J893" i="17"/>
  <c r="O893" i="17" s="1"/>
  <c r="K893" i="17"/>
  <c r="L893" i="17"/>
  <c r="M893" i="17" s="1"/>
  <c r="I894" i="17"/>
  <c r="N894" i="17" s="1"/>
  <c r="J894" i="17"/>
  <c r="O894" i="17" s="1"/>
  <c r="K894" i="17"/>
  <c r="L894" i="17"/>
  <c r="M894" i="17" s="1"/>
  <c r="I895" i="17"/>
  <c r="N895" i="17" s="1"/>
  <c r="J895" i="17"/>
  <c r="O895" i="17" s="1"/>
  <c r="K895" i="17"/>
  <c r="L895" i="17"/>
  <c r="I896" i="17"/>
  <c r="N896" i="17" s="1"/>
  <c r="J896" i="17"/>
  <c r="O896" i="17" s="1"/>
  <c r="K896" i="17"/>
  <c r="L896" i="17"/>
  <c r="I897" i="17"/>
  <c r="J897" i="17"/>
  <c r="K897" i="17"/>
  <c r="L897" i="17"/>
  <c r="I898" i="17"/>
  <c r="N898" i="17" s="1"/>
  <c r="J898" i="17"/>
  <c r="O898" i="17" s="1"/>
  <c r="K898" i="17"/>
  <c r="L898" i="17"/>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J902" i="17"/>
  <c r="O902" i="17" s="1"/>
  <c r="K902" i="17"/>
  <c r="L902" i="17"/>
  <c r="M902" i="17" s="1"/>
  <c r="I903" i="17"/>
  <c r="J903" i="17"/>
  <c r="O903" i="17" s="1"/>
  <c r="K903" i="17"/>
  <c r="L903" i="17"/>
  <c r="M903" i="17" s="1"/>
  <c r="I904" i="17"/>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J908" i="17"/>
  <c r="O908" i="17" s="1"/>
  <c r="K908" i="17"/>
  <c r="L908" i="17"/>
  <c r="M908" i="17" s="1"/>
  <c r="I909" i="17"/>
  <c r="J909" i="17"/>
  <c r="O909" i="17" s="1"/>
  <c r="K909" i="17"/>
  <c r="L909" i="17"/>
  <c r="I910" i="17"/>
  <c r="J910" i="17"/>
  <c r="O910" i="17" s="1"/>
  <c r="K910" i="17"/>
  <c r="L910" i="17"/>
  <c r="M910" i="17" s="1"/>
  <c r="I911" i="17"/>
  <c r="N911" i="17" s="1"/>
  <c r="J911" i="17"/>
  <c r="O911" i="17" s="1"/>
  <c r="K911" i="17"/>
  <c r="L911" i="17"/>
  <c r="M911" i="17" s="1"/>
  <c r="I912" i="17"/>
  <c r="N912" i="17" s="1"/>
  <c r="J912" i="17"/>
  <c r="K912" i="17"/>
  <c r="L912" i="17"/>
  <c r="M912" i="17" s="1"/>
  <c r="I913" i="17"/>
  <c r="N913" i="17" s="1"/>
  <c r="J913" i="17"/>
  <c r="O913" i="17" s="1"/>
  <c r="K913" i="17"/>
  <c r="L913" i="17"/>
  <c r="M913" i="17" s="1"/>
  <c r="I914" i="17"/>
  <c r="N914" i="17" s="1"/>
  <c r="J914" i="17"/>
  <c r="K914" i="17"/>
  <c r="L914" i="17"/>
  <c r="I915" i="17"/>
  <c r="N915" i="17" s="1"/>
  <c r="J915" i="17"/>
  <c r="O915" i="17" s="1"/>
  <c r="K915" i="17"/>
  <c r="L915" i="17"/>
  <c r="I916" i="17"/>
  <c r="N916" i="17" s="1"/>
  <c r="J916" i="17"/>
  <c r="K916" i="17"/>
  <c r="L916" i="17"/>
  <c r="M916" i="17" s="1"/>
  <c r="I917" i="17"/>
  <c r="N917" i="17" s="1"/>
  <c r="J917" i="17"/>
  <c r="O917" i="17" s="1"/>
  <c r="K917" i="17"/>
  <c r="L917" i="17"/>
  <c r="I918" i="17"/>
  <c r="N918" i="17" s="1"/>
  <c r="J918" i="17"/>
  <c r="O918" i="17" s="1"/>
  <c r="K918" i="17"/>
  <c r="L918" i="17"/>
  <c r="M918" i="17" s="1"/>
  <c r="I919" i="17"/>
  <c r="J919" i="17"/>
  <c r="O919" i="17" s="1"/>
  <c r="K919" i="17"/>
  <c r="L919" i="17"/>
  <c r="I920" i="17"/>
  <c r="N920" i="17" s="1"/>
  <c r="J920" i="17"/>
  <c r="K920" i="17"/>
  <c r="L920" i="17"/>
  <c r="I921" i="17"/>
  <c r="N921" i="17" s="1"/>
  <c r="J921" i="17"/>
  <c r="O921" i="17" s="1"/>
  <c r="K921" i="17"/>
  <c r="L921" i="17"/>
  <c r="I922" i="17"/>
  <c r="N922" i="17" s="1"/>
  <c r="J922" i="17"/>
  <c r="K922" i="17"/>
  <c r="L922" i="17"/>
  <c r="I923" i="17"/>
  <c r="N923" i="17" s="1"/>
  <c r="J923" i="17"/>
  <c r="K923" i="17"/>
  <c r="L923" i="17"/>
  <c r="I924" i="17"/>
  <c r="N924" i="17" s="1"/>
  <c r="J924" i="17"/>
  <c r="O924" i="17" s="1"/>
  <c r="K924" i="17"/>
  <c r="L924" i="17"/>
  <c r="M924" i="17" s="1"/>
  <c r="I925" i="17"/>
  <c r="N925" i="17" s="1"/>
  <c r="J925" i="17"/>
  <c r="O925" i="17" s="1"/>
  <c r="K925" i="17"/>
  <c r="L925" i="17"/>
  <c r="M925" i="17" s="1"/>
  <c r="I926" i="17"/>
  <c r="N926" i="17" s="1"/>
  <c r="J926" i="17"/>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J933" i="17"/>
  <c r="K933" i="17"/>
  <c r="L933" i="17"/>
  <c r="M933" i="17" s="1"/>
  <c r="I934" i="17"/>
  <c r="J934" i="17"/>
  <c r="O934" i="17" s="1"/>
  <c r="K934" i="17"/>
  <c r="L934" i="17"/>
  <c r="M934" i="17" s="1"/>
  <c r="I935" i="17"/>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I939" i="17"/>
  <c r="N939" i="17" s="1"/>
  <c r="J939" i="17"/>
  <c r="O939" i="17" s="1"/>
  <c r="K939" i="17"/>
  <c r="L939" i="17"/>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I945" i="17"/>
  <c r="N945" i="17" s="1"/>
  <c r="J945" i="17"/>
  <c r="O945" i="17" s="1"/>
  <c r="K945" i="17"/>
  <c r="L945" i="17"/>
  <c r="I946" i="17"/>
  <c r="N946" i="17" s="1"/>
  <c r="J946" i="17"/>
  <c r="O946" i="17" s="1"/>
  <c r="K946" i="17"/>
  <c r="L946" i="17"/>
  <c r="I947" i="17"/>
  <c r="N947" i="17" s="1"/>
  <c r="J947" i="17"/>
  <c r="O947" i="17" s="1"/>
  <c r="K947" i="17"/>
  <c r="L947" i="17"/>
  <c r="I948" i="17"/>
  <c r="N948" i="17" s="1"/>
  <c r="J948" i="17"/>
  <c r="O948" i="17" s="1"/>
  <c r="K948" i="17"/>
  <c r="L948" i="17"/>
  <c r="I949" i="17"/>
  <c r="N949" i="17" s="1"/>
  <c r="J949" i="17"/>
  <c r="O949" i="17" s="1"/>
  <c r="K949" i="17"/>
  <c r="L949" i="17"/>
  <c r="M949" i="17" s="1"/>
  <c r="I950" i="17"/>
  <c r="J950" i="17"/>
  <c r="O950" i="17" s="1"/>
  <c r="K950" i="17"/>
  <c r="L950" i="17"/>
  <c r="M950" i="17" s="1"/>
  <c r="I951" i="17"/>
  <c r="J951" i="17"/>
  <c r="O951" i="17" s="1"/>
  <c r="K951" i="17"/>
  <c r="L951" i="17"/>
  <c r="M951" i="17" s="1"/>
  <c r="I952" i="17"/>
  <c r="J952" i="17"/>
  <c r="O952" i="17" s="1"/>
  <c r="K952" i="17"/>
  <c r="L952" i="17"/>
  <c r="M952" i="17" s="1"/>
  <c r="I953" i="17"/>
  <c r="J953" i="17"/>
  <c r="O953" i="17" s="1"/>
  <c r="K953" i="17"/>
  <c r="L953" i="17"/>
  <c r="M953" i="17" s="1"/>
  <c r="I954" i="17"/>
  <c r="N954" i="17" s="1"/>
  <c r="J954" i="17"/>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K962" i="17"/>
  <c r="L962" i="17"/>
  <c r="I963" i="17"/>
  <c r="N963" i="17" s="1"/>
  <c r="J963" i="17"/>
  <c r="O963" i="17" s="1"/>
  <c r="K963" i="17"/>
  <c r="L963" i="17"/>
  <c r="I964" i="17"/>
  <c r="N964" i="17" s="1"/>
  <c r="J964" i="17"/>
  <c r="O964" i="17" s="1"/>
  <c r="K964" i="17"/>
  <c r="L964" i="17"/>
  <c r="I965" i="17"/>
  <c r="N965" i="17" s="1"/>
  <c r="J965" i="17"/>
  <c r="O965" i="17" s="1"/>
  <c r="K965" i="17"/>
  <c r="L965" i="17"/>
  <c r="I966" i="17"/>
  <c r="N966" i="17" s="1"/>
  <c r="J966" i="17"/>
  <c r="O966" i="17" s="1"/>
  <c r="K966" i="17"/>
  <c r="L966" i="17"/>
  <c r="M966" i="17" s="1"/>
  <c r="I967" i="17"/>
  <c r="N967" i="17" s="1"/>
  <c r="J967" i="17"/>
  <c r="O967" i="17" s="1"/>
  <c r="K967" i="17"/>
  <c r="L967" i="17"/>
  <c r="I968" i="17"/>
  <c r="N968" i="17" s="1"/>
  <c r="J968" i="17"/>
  <c r="K968" i="17"/>
  <c r="L968" i="17"/>
  <c r="M968" i="17" s="1"/>
  <c r="I969" i="17"/>
  <c r="J969" i="17"/>
  <c r="K969" i="17"/>
  <c r="L969" i="17"/>
  <c r="I970" i="17"/>
  <c r="N970" i="17" s="1"/>
  <c r="J970" i="17"/>
  <c r="K970" i="17"/>
  <c r="L970" i="17"/>
  <c r="I971" i="17"/>
  <c r="N971" i="17" s="1"/>
  <c r="J971" i="17"/>
  <c r="O971" i="17" s="1"/>
  <c r="K971" i="17"/>
  <c r="L971" i="17"/>
  <c r="I972" i="17"/>
  <c r="N972" i="17" s="1"/>
  <c r="J972" i="17"/>
  <c r="O972" i="17" s="1"/>
  <c r="K972" i="17"/>
  <c r="L972" i="17"/>
  <c r="I973" i="17"/>
  <c r="N973" i="17" s="1"/>
  <c r="J973" i="17"/>
  <c r="O973" i="17" s="1"/>
  <c r="K973" i="17"/>
  <c r="L973" i="17"/>
  <c r="I974" i="17"/>
  <c r="N974" i="17" s="1"/>
  <c r="J974" i="17"/>
  <c r="K974" i="17"/>
  <c r="L974" i="17"/>
  <c r="M974" i="17" s="1"/>
  <c r="I975" i="17"/>
  <c r="N975" i="17" s="1"/>
  <c r="J975" i="17"/>
  <c r="K975" i="17"/>
  <c r="L975" i="17"/>
  <c r="M975" i="17" s="1"/>
  <c r="I976" i="17"/>
  <c r="J976" i="17"/>
  <c r="K976" i="17"/>
  <c r="L976" i="17"/>
  <c r="M976" i="17" s="1"/>
  <c r="I977" i="17"/>
  <c r="J977" i="17"/>
  <c r="O977" i="17" s="1"/>
  <c r="K977" i="17"/>
  <c r="L977" i="17"/>
  <c r="M977" i="17" s="1"/>
  <c r="I978" i="17"/>
  <c r="N978" i="17" s="1"/>
  <c r="J978" i="17"/>
  <c r="O978" i="17" s="1"/>
  <c r="K978" i="17"/>
  <c r="L978" i="17"/>
  <c r="M978" i="17" s="1"/>
  <c r="I979" i="17"/>
  <c r="N979" i="17" s="1"/>
  <c r="J979" i="17"/>
  <c r="O979" i="17" s="1"/>
  <c r="K979" i="17"/>
  <c r="L979" i="17"/>
  <c r="M979" i="17" s="1"/>
  <c r="I980" i="17"/>
  <c r="J980" i="17"/>
  <c r="O980" i="17" s="1"/>
  <c r="K980" i="17"/>
  <c r="L980" i="17"/>
  <c r="M980" i="17" s="1"/>
  <c r="I981" i="17"/>
  <c r="N981" i="17" s="1"/>
  <c r="J981" i="17"/>
  <c r="O981" i="17" s="1"/>
  <c r="K981" i="17"/>
  <c r="L981" i="17"/>
  <c r="M981" i="17" s="1"/>
  <c r="I982" i="17"/>
  <c r="J982" i="17"/>
  <c r="O982" i="17" s="1"/>
  <c r="K982" i="17"/>
  <c r="L982" i="17"/>
  <c r="M982" i="17" s="1"/>
  <c r="I983" i="17"/>
  <c r="J983" i="17"/>
  <c r="O983" i="17" s="1"/>
  <c r="K983" i="17"/>
  <c r="L983" i="17"/>
  <c r="M983" i="17" s="1"/>
  <c r="I984" i="17"/>
  <c r="J984" i="17"/>
  <c r="O984" i="17" s="1"/>
  <c r="K984" i="17"/>
  <c r="L984" i="17"/>
  <c r="M984" i="17" s="1"/>
  <c r="I985" i="17"/>
  <c r="J985" i="17"/>
  <c r="O985" i="17" s="1"/>
  <c r="K985" i="17"/>
  <c r="L985" i="17"/>
  <c r="M985" i="17" s="1"/>
  <c r="I986" i="17"/>
  <c r="J986" i="17"/>
  <c r="O986" i="17" s="1"/>
  <c r="K986" i="17"/>
  <c r="L986" i="17"/>
  <c r="M986" i="17" s="1"/>
  <c r="I987" i="17"/>
  <c r="N987" i="17" s="1"/>
  <c r="J987" i="17"/>
  <c r="O987" i="17" s="1"/>
  <c r="K987" i="17"/>
  <c r="L987" i="17"/>
  <c r="I988" i="17"/>
  <c r="N988" i="17" s="1"/>
  <c r="J988" i="17"/>
  <c r="O988" i="17" s="1"/>
  <c r="K988" i="17"/>
  <c r="L988" i="17"/>
  <c r="I989" i="17"/>
  <c r="N989" i="17" s="1"/>
  <c r="J989" i="17"/>
  <c r="O989" i="17" s="1"/>
  <c r="K989" i="17"/>
  <c r="L989" i="17"/>
  <c r="I990" i="17"/>
  <c r="N990" i="17" s="1"/>
  <c r="J990" i="17"/>
  <c r="O990" i="17" s="1"/>
  <c r="K990" i="17"/>
  <c r="L990" i="17"/>
  <c r="M990" i="17" s="1"/>
  <c r="I991" i="17"/>
  <c r="N991" i="17" s="1"/>
  <c r="J991" i="17"/>
  <c r="O991" i="17" s="1"/>
  <c r="K991" i="17"/>
  <c r="L991" i="17"/>
  <c r="I992" i="17"/>
  <c r="N992" i="17" s="1"/>
  <c r="J992" i="17"/>
  <c r="K992" i="17"/>
  <c r="L992" i="17"/>
  <c r="I993" i="17"/>
  <c r="N993" i="17" s="1"/>
  <c r="J993" i="17"/>
  <c r="O993" i="17" s="1"/>
  <c r="K993" i="17"/>
  <c r="L993" i="17"/>
  <c r="M993" i="17" s="1"/>
  <c r="I994" i="17"/>
  <c r="N994" i="17" s="1"/>
  <c r="J994" i="17"/>
  <c r="O994" i="17" s="1"/>
  <c r="K994" i="17"/>
  <c r="L994" i="17"/>
  <c r="I995" i="17"/>
  <c r="N995" i="17" s="1"/>
  <c r="J995" i="17"/>
  <c r="O995" i="17" s="1"/>
  <c r="K995" i="17"/>
  <c r="L995" i="17"/>
  <c r="I996" i="17"/>
  <c r="N996" i="17" s="1"/>
  <c r="J996" i="17"/>
  <c r="O996" i="17" s="1"/>
  <c r="K996" i="17"/>
  <c r="L996" i="17"/>
  <c r="I997" i="17"/>
  <c r="N997" i="17" s="1"/>
  <c r="J997" i="17"/>
  <c r="O997" i="17" s="1"/>
  <c r="K997" i="17"/>
  <c r="L997" i="17"/>
  <c r="I998" i="17"/>
  <c r="N998" i="17" s="1"/>
  <c r="J998" i="17"/>
  <c r="O998" i="17" s="1"/>
  <c r="K998" i="17"/>
  <c r="L998" i="17"/>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<sst xmlns="http://schemas.openxmlformats.org/spreadsheetml/2006/main" count="11128" uniqueCount="6221">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</sst>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44" fontId="0" fillId="0" borderId="0" xfId="1" applyFont="1"/>
    <xf numFmtId="0" fontId="0" fillId="0" borderId="0" xfId="0" pivotButton="1"/>
    <xf numFmtId="3" fontId="0" fillId="0" borderId="0" xfId="0" applyNumberFormat="1"/>
    <xf numFmtId="168" fontId="0" fillId="0" borderId="0" xfId="0" applyNumberFormat="1"/>
  </cellXfs>
  <cellStyles count="2">
    <cellStyle name="Currency" xfId="1" builtinId="4"/>
    <cellStyle name="Normal" xfId="0" builtinId="0"/>
  </cellStyles>
  <dxfs count="18">
    <dxf>
      <numFmt numFmtId="0" formatCode="General"/>
    </dxf>
    <dxf>
      <numFmt numFmtId="167" formatCode="_([$$-409]* #,##0.00_);_([$$-409]* \(#,##0.00\);_([$$-409]* &quot;-&quot;??_);_(@_)"/>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rgb="FFF5ECDB"/>
        <name val="Calibri Light"/>
        <family val="2"/>
        <scheme val="major"/>
      </font>
      <fill>
        <patternFill patternType="solid">
          <fgColor rgb="FFF5ECDB"/>
          <bgColor rgb="FF4F3A35"/>
        </patternFill>
      </fill>
      <border>
        <left style="thin">
          <color rgb="FF4F3A35"/>
        </left>
        <right style="thin">
          <color rgb="FF4F3A35"/>
        </right>
        <top style="thin">
          <color rgb="FF4F3A35"/>
        </top>
        <bottom style="thin">
          <color rgb="FF4F3A35"/>
        </bottom>
        <vertical/>
        <horizontal/>
      </border>
    </dxf>
    <dxf>
      <font>
        <color theme="1"/>
      </font>
      <fill>
        <patternFill patternType="solid">
          <fgColor auto="1"/>
          <bgColor rgb="FFFFFAF1"/>
        </patternFill>
      </fill>
      <border>
        <left style="thin">
          <color rgb="FF4F3A35"/>
        </left>
        <right style="thin">
          <color rgb="FF4F3A35"/>
        </right>
        <top style="thin">
          <color rgb="FF4F3A35"/>
        </top>
        <bottom style="thin">
          <color rgb="FF4F3A35"/>
        </bottom>
        <vertical/>
        <horizontal/>
      </border>
    </dxf>
    <dxf>
      <font>
        <b/>
        <i val="0"/>
        <sz val="11"/>
        <color rgb="FFF5ECDB"/>
        <name val="Calibri Light"/>
        <family val="2"/>
        <scheme val="major"/>
      </font>
      <fill>
        <patternFill patternType="solid">
          <fgColor auto="1"/>
          <bgColor rgb="FF4F3A35"/>
        </patternFill>
      </fill>
      <border>
        <vertical/>
        <horizontal/>
      </border>
    </dxf>
    <dxf>
      <font>
        <b val="0"/>
        <i val="0"/>
        <sz val="11"/>
        <color auto="1"/>
        <name val="Calibri Light"/>
        <family val="2"/>
        <scheme val="major"/>
      </font>
      <fill>
        <patternFill patternType="solid">
          <fgColor rgb="FFFFC5B7"/>
          <bgColor rgb="FFFFFAF1"/>
        </patternFill>
      </fill>
      <border>
        <left style="thin">
          <color theme="5"/>
        </left>
        <right style="thin">
          <color theme="5"/>
        </right>
        <top style="thin">
          <color theme="5"/>
        </top>
        <bottom style="thin">
          <color theme="5"/>
        </bottom>
        <vertical/>
        <horizontal/>
      </border>
    </dxf>
    <dxf>
      <font>
        <b/>
        <sz val="11"/>
        <color theme="1"/>
      </font>
    </dxf>
    <dxf>
      <font>
        <b val="0"/>
        <i val="0"/>
        <sz val="11"/>
        <name val="Calibri Light"/>
        <family val="2"/>
        <scheme val="major"/>
      </font>
      <fill>
        <patternFill patternType="solid">
          <fgColor auto="1"/>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Coffee" pivot="0" table="0" count="8" xr9:uid="{EF28926E-0C28-4CC4-88CF-89AA8F6935C0}">
      <tableStyleElement type="wholeTable" dxfId="17"/>
      <tableStyleElement type="headerRow" dxfId="16"/>
    </tableStyle>
    <tableStyle name="coffee 2" pivot="0" table="0" count="9" xr9:uid="{AB58E1CB-DFF5-4D20-93FE-F303F610F867}">
      <tableStyleElement type="wholeTable" dxfId="15"/>
      <tableStyleElement type="headerRow" dxfId="14"/>
    </tableStyle>
    <tableStyle name="SlicerStyleLight1 2" pivot="0" table="0" count="10" xr9:uid="{44A1FF8A-6E70-45A9-93AF-CEFE88ECEC6A}">
      <tableStyleElement type="wholeTable" dxfId="13"/>
      <tableStyleElement type="headerRow" dxfId="12"/>
    </tableStyle>
  </tableStyles>
  <colors>
    <mruColors>
      <color rgb="FFA52A2A"/>
      <color rgb="FF6B8E23"/>
      <color rgb="FFFF8C00"/>
      <color rgb="FF4682B4"/>
      <color rgb="FF335BA3"/>
      <color rgb="FFFFFAF1"/>
      <color rgb="FF4F3A35"/>
      <color rgb="FFF5ECDB"/>
      <color rgb="FF663300"/>
      <color rgb="FF806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663300"/>
              <bgColor theme="4" tint="0.79995117038483843"/>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4F3A35"/>
              <bgColor rgb="FF4F3A3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66330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3">
        <dxf>
          <fill>
            <patternFill patternType="solid">
              <fgColor theme="5" tint="0.39991454817346722"/>
              <bgColor theme="7" tint="-0.499984740745262"/>
            </patternFill>
          </fill>
          <border>
            <vertical/>
            <horizontal/>
          </border>
        </dxf>
        <dxf>
          <fill>
            <patternFill patternType="solid">
              <fgColor auto="1"/>
              <bgColor theme="0" tint="-0.14996795556505021"/>
            </patternFill>
          </fill>
          <border>
            <vertical/>
            <horizontal/>
          </border>
        </dxf>
        <dxf>
          <fill>
            <patternFill patternType="solid">
              <fgColor auto="1"/>
              <bgColor rgb="FF4F3A35"/>
            </patternFill>
          </fill>
          <border>
            <vertical/>
            <horizontal/>
          </border>
        </dxf>
        <dxf>
          <font>
            <sz val="12"/>
            <color rgb="FF4F3A35"/>
          </font>
          <border>
            <left/>
            <right/>
            <top/>
            <bottom/>
            <vertical/>
            <horizontal/>
          </border>
        </dxf>
        <dxf>
          <font>
            <sz val="12"/>
            <color rgb="FF4F3A35"/>
          </font>
          <border>
            <left/>
            <right/>
            <top/>
            <bottom/>
            <vertical/>
            <horizontal/>
          </border>
        </dxf>
        <dxf>
          <font>
            <b val="0"/>
            <i val="0"/>
            <sz val="9"/>
            <color rgb="FF4F3A35"/>
            <name val="Calibri Light"/>
            <family val="2"/>
            <scheme val="major"/>
          </font>
          <border>
            <left/>
            <right/>
            <top/>
            <bottom/>
            <vertical/>
            <horizontal/>
          </border>
        </dxf>
        <dxf>
          <font>
            <sz val="10"/>
            <color rgb="FF4F3A35"/>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Coffee">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coffe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rgbClr val="4F3A35"/>
                </a:solidFill>
                <a:latin typeface="+mn-lt"/>
                <a:ea typeface="+mn-ea"/>
                <a:cs typeface="+mn-cs"/>
              </a:defRPr>
            </a:pPr>
            <a:r>
              <a:rPr lang="en-US" b="1">
                <a:solidFill>
                  <a:srgbClr val="4F3A35"/>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F3A3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9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9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4682B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8C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B8E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A52A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4682B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7A-4219-BA70-6AF15911BF8B}"/>
            </c:ext>
          </c:extLst>
        </c:ser>
        <c:ser>
          <c:idx val="1"/>
          <c:order val="1"/>
          <c:tx>
            <c:strRef>
              <c:f>TotalSales!$D$3:$D$4</c:f>
              <c:strCache>
                <c:ptCount val="1"/>
                <c:pt idx="0">
                  <c:v>Excelsa</c:v>
                </c:pt>
              </c:strCache>
            </c:strRef>
          </c:tx>
          <c:spPr>
            <a:ln w="28575" cap="rnd">
              <a:solidFill>
                <a:srgbClr val="FF8C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F7A-4219-BA70-6AF15911BF8B}"/>
            </c:ext>
          </c:extLst>
        </c:ser>
        <c:ser>
          <c:idx val="2"/>
          <c:order val="2"/>
          <c:tx>
            <c:strRef>
              <c:f>TotalSales!$E$3:$E$4</c:f>
              <c:strCache>
                <c:ptCount val="1"/>
                <c:pt idx="0">
                  <c:v>Liberica</c:v>
                </c:pt>
              </c:strCache>
            </c:strRef>
          </c:tx>
          <c:spPr>
            <a:ln w="28575" cap="rnd">
              <a:solidFill>
                <a:srgbClr val="6B8E2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F7A-4219-BA70-6AF15911BF8B}"/>
            </c:ext>
          </c:extLst>
        </c:ser>
        <c:ser>
          <c:idx val="3"/>
          <c:order val="3"/>
          <c:tx>
            <c:strRef>
              <c:f>TotalSales!$F$3:$F$4</c:f>
              <c:strCache>
                <c:ptCount val="1"/>
                <c:pt idx="0">
                  <c:v>Robusta</c:v>
                </c:pt>
              </c:strCache>
            </c:strRef>
          </c:tx>
          <c:spPr>
            <a:ln w="28575" cap="rnd">
              <a:solidFill>
                <a:srgbClr val="A52A2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0F7A-4219-BA70-6AF15911BF8B}"/>
            </c:ext>
          </c:extLst>
        </c:ser>
        <c:dLbls>
          <c:showLegendKey val="0"/>
          <c:showVal val="0"/>
          <c:showCatName val="0"/>
          <c:showSerName val="0"/>
          <c:showPercent val="0"/>
          <c:showBubbleSize val="0"/>
        </c:dLbls>
        <c:smooth val="0"/>
        <c:axId val="1862397152"/>
        <c:axId val="1862397632"/>
      </c:lineChart>
      <c:catAx>
        <c:axId val="186239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4F3A35"/>
                </a:solidFill>
                <a:latin typeface="+mn-lt"/>
                <a:ea typeface="+mn-ea"/>
                <a:cs typeface="+mn-cs"/>
              </a:defRPr>
            </a:pPr>
            <a:endParaRPr lang="en-US"/>
          </a:p>
        </c:txPr>
        <c:crossAx val="1862397632"/>
        <c:crosses val="autoZero"/>
        <c:auto val="1"/>
        <c:lblAlgn val="ctr"/>
        <c:lblOffset val="100"/>
        <c:noMultiLvlLbl val="0"/>
      </c:catAx>
      <c:valAx>
        <c:axId val="1862397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3A35"/>
                </a:solidFill>
                <a:latin typeface="+mn-lt"/>
                <a:ea typeface="+mn-ea"/>
                <a:cs typeface="+mn-cs"/>
              </a:defRPr>
            </a:pPr>
            <a:endParaRPr lang="en-US"/>
          </a:p>
        </c:txPr>
        <c:crossAx val="1862397152"/>
        <c:crosses val="autoZero"/>
        <c:crossBetween val="between"/>
      </c:valAx>
      <c:spPr>
        <a:solidFill>
          <a:srgbClr val="FFFAF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F3A3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AF1">
        <a:alpha val="98824"/>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4F3A35"/>
                </a:solidFill>
                <a:latin typeface="+mn-lt"/>
                <a:ea typeface="+mn-ea"/>
                <a:cs typeface="+mn-cs"/>
              </a:defRPr>
            </a:pPr>
            <a:r>
              <a:rPr lang="en-US" b="1">
                <a:solidFill>
                  <a:srgbClr val="4F3A35"/>
                </a:solidFill>
              </a:rPr>
              <a:t>Sales by Country</a:t>
            </a:r>
          </a:p>
        </c:rich>
      </c:tx>
      <c:overlay val="0"/>
      <c:spPr>
        <a:noFill/>
        <a:ln>
          <a:noFill/>
        </a:ln>
        <a:effectLst/>
      </c:spPr>
    </c:title>
    <c:autoTitleDeleted val="0"/>
    <c:pivotFmts>
      <c:pivotFmt>
        <c:idx val="0"/>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A4F00"/>
          </a:solidFill>
          <a:ln w="0">
            <a:solidFill>
              <a:schemeClr val="tx1">
                <a:lumMod val="15000"/>
                <a:lumOff val="85000"/>
              </a:schemeClr>
            </a:solidFill>
          </a:ln>
          <a:effectLst/>
        </c:spPr>
      </c:pivotFmt>
      <c:pivotFmt>
        <c:idx val="2"/>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3A35"/>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3A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3989501312338"/>
          <c:y val="0.15011295362639812"/>
          <c:w val="0.79985237229961637"/>
          <c:h val="0.73593848144178342"/>
        </c:manualLayout>
      </c:layout>
      <c:barChart>
        <c:barDir val="bar"/>
        <c:grouping val="clustered"/>
        <c:varyColors val="0"/>
        <c:ser>
          <c:idx val="0"/>
          <c:order val="0"/>
          <c:tx>
            <c:strRef>
              <c:f>CountryBarChart!$B$3</c:f>
              <c:strCache>
                <c:ptCount val="1"/>
                <c:pt idx="0">
                  <c:v>Total</c:v>
                </c:pt>
              </c:strCache>
            </c:strRef>
          </c:tx>
          <c:spPr>
            <a:solidFill>
              <a:srgbClr val="4F3A35"/>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3A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2-5110-4DD2-A8FC-875C6405CEC2}"/>
            </c:ext>
          </c:extLst>
        </c:ser>
        <c:dLbls>
          <c:dLblPos val="outEnd"/>
          <c:showLegendKey val="0"/>
          <c:showVal val="1"/>
          <c:showCatName val="0"/>
          <c:showSerName val="0"/>
          <c:showPercent val="0"/>
          <c:showBubbleSize val="0"/>
        </c:dLbls>
        <c:gapWidth val="127"/>
        <c:axId val="1568601392"/>
        <c:axId val="1568603792"/>
      </c:barChart>
      <c:catAx>
        <c:axId val="1568601392"/>
        <c:scaling>
          <c:orientation val="minMax"/>
        </c:scaling>
        <c:delete val="0"/>
        <c:axPos val="l"/>
        <c:numFmt formatCode="General" sourceLinked="1"/>
        <c:majorTickMark val="none"/>
        <c:minorTickMark val="none"/>
        <c:tickLblPos val="nextTo"/>
        <c:spPr>
          <a:noFill/>
          <a:ln w="222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4F3A35"/>
                </a:solidFill>
                <a:latin typeface="+mn-lt"/>
                <a:ea typeface="+mn-ea"/>
                <a:cs typeface="+mn-cs"/>
              </a:defRPr>
            </a:pPr>
            <a:endParaRPr lang="en-US"/>
          </a:p>
        </c:txPr>
        <c:crossAx val="1568603792"/>
        <c:crosses val="autoZero"/>
        <c:auto val="1"/>
        <c:lblAlgn val="ctr"/>
        <c:lblOffset val="100"/>
        <c:noMultiLvlLbl val="0"/>
      </c:catAx>
      <c:valAx>
        <c:axId val="156860379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01392"/>
        <c:crosses val="autoZero"/>
        <c:crossBetween val="between"/>
      </c:valAx>
      <c:spPr>
        <a:solidFill>
          <a:srgbClr val="FFFAF1"/>
        </a:solidFill>
      </c:spPr>
    </c:plotArea>
    <c:plotVisOnly val="1"/>
    <c:dispBlanksAs val="gap"/>
    <c:showDLblsOverMax val="0"/>
    <c:extLst/>
  </c:chart>
  <c:spPr>
    <a:solidFill>
      <a:srgbClr val="FFFAF1"/>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F3A35"/>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A4F00"/>
          </a:solidFill>
          <a:ln w="0">
            <a:solidFill>
              <a:schemeClr val="tx1">
                <a:lumMod val="15000"/>
                <a:lumOff val="85000"/>
              </a:schemeClr>
            </a:solidFill>
          </a:ln>
          <a:effectLst/>
        </c:spPr>
      </c:pivotFmt>
      <c:pivotFmt>
        <c:idx val="2"/>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A4F00"/>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3A35"/>
          </a:soli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3A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3989501312338"/>
          <c:y val="0.12452968036529682"/>
          <c:w val="0.79985237229961637"/>
          <c:h val="0.77976888505375186"/>
        </c:manualLayout>
      </c:layout>
      <c:barChart>
        <c:barDir val="bar"/>
        <c:grouping val="clustered"/>
        <c:varyColors val="0"/>
        <c:ser>
          <c:idx val="0"/>
          <c:order val="0"/>
          <c:tx>
            <c:strRef>
              <c:f>Top5Customers!$B$3</c:f>
              <c:strCache>
                <c:ptCount val="1"/>
                <c:pt idx="0">
                  <c:v>Total</c:v>
                </c:pt>
              </c:strCache>
            </c:strRef>
          </c:tx>
          <c:spPr>
            <a:solidFill>
              <a:srgbClr val="4F3A35"/>
            </a:solidFill>
            <a:ln w="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3A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87E-4A5F-B730-1826E6C34027}"/>
            </c:ext>
          </c:extLst>
        </c:ser>
        <c:dLbls>
          <c:dLblPos val="outEnd"/>
          <c:showLegendKey val="0"/>
          <c:showVal val="1"/>
          <c:showCatName val="0"/>
          <c:showSerName val="0"/>
          <c:showPercent val="0"/>
          <c:showBubbleSize val="0"/>
        </c:dLbls>
        <c:gapWidth val="127"/>
        <c:axId val="1568601392"/>
        <c:axId val="1568603792"/>
      </c:barChart>
      <c:catAx>
        <c:axId val="1568601392"/>
        <c:scaling>
          <c:orientation val="minMax"/>
        </c:scaling>
        <c:delete val="0"/>
        <c:axPos val="l"/>
        <c:numFmt formatCode="General" sourceLinked="1"/>
        <c:majorTickMark val="none"/>
        <c:minorTickMark val="none"/>
        <c:tickLblPos val="nextTo"/>
        <c:spPr>
          <a:noFill/>
          <a:ln w="222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4F3A35"/>
                </a:solidFill>
                <a:latin typeface="+mn-lt"/>
                <a:ea typeface="+mn-ea"/>
                <a:cs typeface="+mn-cs"/>
              </a:defRPr>
            </a:pPr>
            <a:endParaRPr lang="en-US"/>
          </a:p>
        </c:txPr>
        <c:crossAx val="1568603792"/>
        <c:crosses val="autoZero"/>
        <c:auto val="1"/>
        <c:lblAlgn val="ctr"/>
        <c:lblOffset val="100"/>
        <c:noMultiLvlLbl val="0"/>
      </c:catAx>
      <c:valAx>
        <c:axId val="156860379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01392"/>
        <c:crosses val="autoZero"/>
        <c:crossBetween val="between"/>
      </c:valAx>
      <c:spPr>
        <a:solidFill>
          <a:srgbClr val="FFFAF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AF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56028</xdr:rowOff>
    </xdr:from>
    <xdr:to>
      <xdr:col>26</xdr:col>
      <xdr:colOff>0</xdr:colOff>
      <xdr:row>5</xdr:row>
      <xdr:rowOff>112058</xdr:rowOff>
    </xdr:to>
    <xdr:sp macro="" textlink="">
      <xdr:nvSpPr>
        <xdr:cNvPr id="3" name="Rectangle 2">
          <a:extLst>
            <a:ext uri="{FF2B5EF4-FFF2-40B4-BE49-F238E27FC236}">
              <a16:creationId xmlns:a16="http://schemas.microsoft.com/office/drawing/2014/main" id="{CC528CAD-701B-28F9-E630-61EA23EB7320}"/>
            </a:ext>
          </a:extLst>
        </xdr:cNvPr>
        <xdr:cNvSpPr/>
      </xdr:nvSpPr>
      <xdr:spPr>
        <a:xfrm>
          <a:off x="114300" y="56028"/>
          <a:ext cx="15240000" cy="875180"/>
        </a:xfrm>
        <a:prstGeom prst="rect">
          <a:avLst/>
        </a:prstGeom>
        <a:solidFill>
          <a:srgbClr val="4F3A3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latin typeface="Aharoni" panose="020F0502020204030204" pitchFamily="2" charset="-79"/>
              <a:cs typeface="Aharoni" panose="020F0502020204030204" pitchFamily="2" charset="-79"/>
            </a:rPr>
            <a:t>COFFEE</a:t>
          </a:r>
          <a:r>
            <a:rPr lang="en-US" sz="4000" baseline="0">
              <a:latin typeface="Aharoni" panose="020F0502020204030204" pitchFamily="2" charset="-79"/>
              <a:cs typeface="Aharoni" panose="020F0502020204030204" pitchFamily="2" charset="-79"/>
            </a:rPr>
            <a:t> SALES DASHBOARD</a:t>
          </a:r>
          <a:endParaRPr lang="en-US" sz="4000">
            <a:latin typeface="Aharoni" panose="020F0502020204030204" pitchFamily="2" charset="-79"/>
            <a:cs typeface="Aharoni" panose="020F0502020204030204" pitchFamily="2" charset="-79"/>
          </a:endParaRPr>
        </a:p>
      </xdr:txBody>
    </xdr:sp>
    <xdr:clientData/>
  </xdr:twoCellAnchor>
  <xdr:twoCellAnchor>
    <xdr:from>
      <xdr:col>1</xdr:col>
      <xdr:colOff>11206</xdr:colOff>
      <xdr:row>17</xdr:row>
      <xdr:rowOff>97491</xdr:rowOff>
    </xdr:from>
    <xdr:to>
      <xdr:col>17</xdr:col>
      <xdr:colOff>11206</xdr:colOff>
      <xdr:row>43</xdr:row>
      <xdr:rowOff>78441</xdr:rowOff>
    </xdr:to>
    <xdr:graphicFrame macro="">
      <xdr:nvGraphicFramePr>
        <xdr:cNvPr id="4" name="Sales over Time">
          <a:extLst>
            <a:ext uri="{FF2B5EF4-FFF2-40B4-BE49-F238E27FC236}">
              <a16:creationId xmlns:a16="http://schemas.microsoft.com/office/drawing/2014/main" id="{FD01AE08-F4DF-458E-A02A-0118657D6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5</xdr:row>
      <xdr:rowOff>180974</xdr:rowOff>
    </xdr:from>
    <xdr:to>
      <xdr:col>18</xdr:col>
      <xdr:colOff>457200</xdr:colOff>
      <xdr:row>16</xdr:row>
      <xdr:rowOff>171449</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2C04D690-6C08-42DC-B39A-ABFCB50F988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5007" y="1000952"/>
              <a:ext cx="10857671" cy="2085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100854</xdr:colOff>
      <xdr:row>11</xdr:row>
      <xdr:rowOff>0</xdr:rowOff>
    </xdr:from>
    <xdr:to>
      <xdr:col>26</xdr:col>
      <xdr:colOff>0</xdr:colOff>
      <xdr:row>17</xdr:row>
      <xdr:rowOff>47625</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2CB2203A-C2D3-42EF-B16A-34047CE8C93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016754" y="1962150"/>
              <a:ext cx="2337546"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133350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CC97715A-AC3A-4492-B0E1-49CE23AAFDD4}"/>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087100" y="1009650"/>
              <a:ext cx="4267200" cy="862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0</xdr:rowOff>
    </xdr:from>
    <xdr:to>
      <xdr:col>22</xdr:col>
      <xdr:colOff>0</xdr:colOff>
      <xdr:row>17</xdr:row>
      <xdr:rowOff>38100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5B84CB6B-2C9B-4BEA-A468-55B106D45F7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087100" y="196215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123263</xdr:colOff>
      <xdr:row>17</xdr:row>
      <xdr:rowOff>123264</xdr:rowOff>
    </xdr:from>
    <xdr:to>
      <xdr:col>25</xdr:col>
      <xdr:colOff>605117</xdr:colOff>
      <xdr:row>28</xdr:row>
      <xdr:rowOff>56030</xdr:rowOff>
    </xdr:to>
    <xdr:graphicFrame macro="">
      <xdr:nvGraphicFramePr>
        <xdr:cNvPr id="9" name="Chart 8">
          <a:extLst>
            <a:ext uri="{FF2B5EF4-FFF2-40B4-BE49-F238E27FC236}">
              <a16:creationId xmlns:a16="http://schemas.microsoft.com/office/drawing/2014/main" id="{BA9AF663-9A20-4533-8B00-75B32BEE0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145677</xdr:colOff>
      <xdr:row>29</xdr:row>
      <xdr:rowOff>0</xdr:rowOff>
    </xdr:from>
    <xdr:to>
      <xdr:col>26</xdr:col>
      <xdr:colOff>0</xdr:colOff>
      <xdr:row>43</xdr:row>
      <xdr:rowOff>78442</xdr:rowOff>
    </xdr:to>
    <xdr:graphicFrame macro="">
      <xdr:nvGraphicFramePr>
        <xdr:cNvPr id="10" name="Chart 9">
          <a:extLst>
            <a:ext uri="{FF2B5EF4-FFF2-40B4-BE49-F238E27FC236}">
              <a16:creationId xmlns:a16="http://schemas.microsoft.com/office/drawing/2014/main" id="{A2BFD9AA-7330-46A8-9908-2FDBA47D9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c Hannah" refreshedDate="45983.50128113426" createdVersion="8" refreshedVersion="8" minRefreshableVersion="3" recordCount="1000" xr:uid="{70FE63AF-4C68-4B94-8345-FC00C7A81744}">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ntainsMixedTypes="1" containsNumber="1" containsInteger="1" minValue="0" maxValue="0"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n v="0"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 name="TotalSales" numFmtId="0" formula=" SUM(Sales)" databaseField="0"/>
  </cacheFields>
  <extLst>
    <ext xmlns:x14="http://schemas.microsoft.com/office/spreadsheetml/2009/9/main" uri="{725AE2AE-9491-48be-B2B4-4EB974FC3084}">
      <x14:pivotCacheDefinition pivotCacheId="1098921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00CA4-5EB3-4784-85F1-AFABA2640F4E}" name="TotalSales"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 compact="0" outline="0" subtotalTop="0" dragToRow="0" dragToCol="0" dragToPage="0" showAll="0" defaultSubtotal="0"/>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459B61-38E1-4CAA-93D2-A5DBE2633689}" name="TotalSales"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s>
  <rowFields count="1">
    <field x="7"/>
  </rowFields>
  <rowItems count="3">
    <i>
      <x v="1"/>
    </i>
    <i>
      <x/>
    </i>
    <i>
      <x v="2"/>
    </i>
  </rowItems>
  <colItems count="1">
    <i/>
  </colItems>
  <dataFields count="1">
    <dataField name="Sum of Sales" fld="12" baseField="0" baseItem="0" numFmtId="168"/>
  </dataFields>
  <chartFormats count="1">
    <chartFormat chart="1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BD792B-8CA4-49B2-A8D9-B9900E901480}" name="TotalSales" cacheId="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4">
        <item m="1" x="913"/>
        <item x="521"/>
        <item x="37"/>
        <item x="129"/>
        <item x="170"/>
        <item x="904"/>
        <item x="776"/>
        <item x="763"/>
        <item x="720"/>
        <item x="27"/>
        <item x="425"/>
        <item x="438"/>
        <item x="747"/>
        <item x="439"/>
        <item x="466"/>
        <item x="201"/>
        <item x="677"/>
        <item x="745"/>
        <item x="0"/>
        <item x="658"/>
        <item x="637"/>
        <item x="74"/>
        <item x="497"/>
        <item x="210"/>
        <item x="673"/>
        <item x="562"/>
        <item x="625"/>
        <item x="19"/>
        <item x="433"/>
        <item x="171"/>
        <item x="195"/>
        <item x="366"/>
        <item x="840"/>
        <item x="247"/>
        <item x="429"/>
        <item x="48"/>
        <item x="595"/>
        <item x="282"/>
        <item x="177"/>
        <item x="523"/>
        <item x="379"/>
        <item x="66"/>
        <item x="856"/>
        <item x="644"/>
        <item x="650"/>
        <item x="823"/>
        <item x="783"/>
        <item x="883"/>
        <item x="454"/>
        <item x="212"/>
        <item x="60"/>
        <item x="573"/>
        <item x="507"/>
        <item x="564"/>
        <item x="142"/>
        <item x="121"/>
        <item x="816"/>
        <item x="126"/>
        <item x="456"/>
        <item x="705"/>
        <item x="431"/>
        <item x="738"/>
        <item x="694"/>
        <item x="519"/>
        <item x="391"/>
        <item x="76"/>
        <item x="268"/>
        <item x="739"/>
        <item x="472"/>
        <item x="220"/>
        <item x="107"/>
        <item x="584"/>
        <item x="275"/>
        <item x="321"/>
        <item x="909"/>
        <item x="790"/>
        <item x="615"/>
        <item x="597"/>
        <item x="474"/>
        <item x="849"/>
        <item x="847"/>
        <item x="409"/>
        <item x="2"/>
        <item x="262"/>
        <item x="21"/>
        <item x="478"/>
        <item x="514"/>
        <item x="154"/>
        <item x="525"/>
        <item x="902"/>
        <item x="802"/>
        <item x="881"/>
        <item x="241"/>
        <item x="224"/>
        <item x="216"/>
        <item x="193"/>
        <item x="808"/>
        <item x="345"/>
        <item x="759"/>
        <item x="54"/>
        <item x="610"/>
        <item x="290"/>
        <item x="197"/>
        <item x="435"/>
        <item x="661"/>
        <item x="825"/>
        <item x="812"/>
        <item x="896"/>
        <item x="631"/>
        <item x="669"/>
        <item x="907"/>
        <item x="860"/>
        <item x="223"/>
        <item x="236"/>
        <item x="469"/>
        <item x="575"/>
        <item x="304"/>
        <item x="889"/>
        <item x="505"/>
        <item x="272"/>
        <item x="526"/>
        <item x="41"/>
        <item x="256"/>
        <item x="490"/>
        <item x="258"/>
        <item x="712"/>
        <item x="830"/>
        <item x="278"/>
        <item x="33"/>
        <item x="594"/>
        <item x="152"/>
        <item x="95"/>
        <item x="869"/>
        <item x="778"/>
        <item x="228"/>
        <item x="356"/>
        <item x="81"/>
        <item x="313"/>
        <item x="164"/>
        <item x="555"/>
        <item x="97"/>
        <item x="183"/>
        <item x="260"/>
        <item x="484"/>
        <item x="755"/>
        <item x="850"/>
        <item x="125"/>
        <item x="867"/>
        <item x="579"/>
        <item x="381"/>
        <item x="460"/>
        <item x="690"/>
        <item x="697"/>
        <item x="8"/>
        <item x="146"/>
        <item x="800"/>
        <item x="264"/>
        <item x="306"/>
        <item x="635"/>
        <item x="452"/>
        <item x="770"/>
        <item x="385"/>
        <item x="222"/>
        <item x="621"/>
        <item x="547"/>
        <item x="375"/>
        <item x="445"/>
        <item x="109"/>
        <item x="863"/>
        <item x="230"/>
        <item x="138"/>
        <item x="383"/>
        <item x="871"/>
        <item x="349"/>
        <item x="722"/>
        <item x="443"/>
        <item x="510"/>
        <item x="792"/>
        <item x="368"/>
        <item x="731"/>
        <item x="735"/>
        <item x="834"/>
        <item x="6"/>
        <item x="845"/>
        <item x="828"/>
        <item x="85"/>
        <item x="462"/>
        <item x="842"/>
        <item x="47"/>
        <item x="723"/>
        <item x="517"/>
        <item x="62"/>
        <item x="692"/>
        <item x="471"/>
        <item x="503"/>
        <item x="765"/>
        <item x="528"/>
        <item x="117"/>
        <item x="308"/>
        <item x="688"/>
        <item x="34"/>
        <item x="45"/>
        <item x="569"/>
        <item x="611"/>
        <item x="173"/>
        <item x="766"/>
        <item x="101"/>
        <item x="274"/>
        <item x="806"/>
        <item x="140"/>
        <item x="675"/>
        <item x="741"/>
        <item x="605"/>
        <item x="288"/>
        <item x="353"/>
        <item x="803"/>
        <item x="679"/>
        <item x="245"/>
        <item x="68"/>
        <item x="587"/>
        <item x="729"/>
        <item x="612"/>
        <item x="544"/>
        <item x="875"/>
        <item x="636"/>
        <item x="144"/>
        <item x="330"/>
        <item x="641"/>
        <item x="873"/>
        <item x="557"/>
        <item x="327"/>
        <item x="351"/>
        <item x="714"/>
        <item x="133"/>
        <item x="437"/>
        <item x="893"/>
        <item x="725"/>
        <item x="854"/>
        <item x="682"/>
        <item x="761"/>
        <item x="150"/>
        <item x="480"/>
        <item x="168"/>
        <item x="743"/>
        <item x="450"/>
        <item x="280"/>
        <item x="515"/>
        <item x="208"/>
        <item x="633"/>
        <item x="549"/>
        <item x="499"/>
        <item x="898"/>
        <item x="810"/>
        <item x="387"/>
        <item x="412"/>
        <item x="494"/>
        <item x="551"/>
        <item x="546"/>
        <item x="627"/>
        <item x="832"/>
        <item x="617"/>
        <item x="343"/>
        <item x="488"/>
        <item x="205"/>
        <item x="360"/>
        <item x="137"/>
        <item x="582"/>
        <item x="567"/>
        <item x="699"/>
        <item x="72"/>
        <item x="127"/>
        <item x="83"/>
        <item x="730"/>
        <item x="232"/>
        <item x="757"/>
        <item x="512"/>
        <item x="179"/>
        <item x="481"/>
        <item x="590"/>
        <item x="530"/>
        <item x="113"/>
        <item x="362"/>
        <item x="737"/>
        <item x="397"/>
        <item x="798"/>
        <item x="103"/>
        <item x="580"/>
        <item x="592"/>
        <item x="708"/>
        <item x="814"/>
        <item x="752"/>
        <item x="601"/>
        <item x="270"/>
        <item x="852"/>
        <item x="70"/>
        <item x="710"/>
        <item x="400"/>
        <item x="5"/>
        <item x="234"/>
        <item x="733"/>
        <item x="623"/>
        <item x="399"/>
        <item x="14"/>
        <item x="161"/>
        <item x="175"/>
        <item x="408"/>
        <item x="879"/>
        <item x="111"/>
        <item x="199"/>
        <item x="249"/>
        <item x="768"/>
        <item x="266"/>
        <item x="492"/>
        <item x="297"/>
        <item x="681"/>
        <item x="293"/>
        <item x="185"/>
        <item x="191"/>
        <item x="586"/>
        <item x="393"/>
        <item x="404"/>
        <item x="508"/>
        <item x="358"/>
        <item x="336"/>
        <item x="667"/>
        <item x="911"/>
        <item x="664"/>
        <item x="56"/>
        <item x="166"/>
        <item x="39"/>
        <item x="406"/>
        <item x="123"/>
        <item x="16"/>
        <item x="55"/>
        <item x="292"/>
        <item x="339"/>
        <item x="12"/>
        <item x="819"/>
        <item x="838"/>
        <item x="284"/>
        <item x="553"/>
        <item x="181"/>
        <item x="532"/>
        <item x="476"/>
        <item x="214"/>
        <item x="418"/>
        <item x="98"/>
        <item x="311"/>
        <item x="796"/>
        <item x="900"/>
        <item x="367"/>
        <item x="414"/>
        <item x="43"/>
        <item x="858"/>
        <item x="323"/>
        <item x="684"/>
        <item x="389"/>
        <item x="534"/>
        <item x="203"/>
        <item x="423"/>
        <item x="663"/>
        <item x="599"/>
        <item x="538"/>
        <item x="870"/>
        <item x="671"/>
        <item x="402"/>
        <item x="427"/>
        <item x="771"/>
        <item x="794"/>
        <item x="10"/>
        <item x="238"/>
        <item x="639"/>
        <item x="441"/>
        <item x="93"/>
        <item x="87"/>
        <item x="536"/>
        <item x="91"/>
        <item x="891"/>
        <item x="686"/>
        <item x="341"/>
        <item x="189"/>
        <item x="148"/>
        <item x="23"/>
        <item x="160"/>
        <item x="64"/>
        <item x="821"/>
        <item x="887"/>
        <item x="703"/>
        <item x="105"/>
        <item x="566"/>
        <item x="652"/>
        <item x="325"/>
        <item x="156"/>
        <item x="609"/>
        <item x="656"/>
        <item x="727"/>
        <item x="750"/>
        <item x="420"/>
        <item x="826"/>
        <item x="785"/>
        <item x="302"/>
        <item x="364"/>
        <item x="780"/>
        <item x="295"/>
        <item x="115"/>
        <item x="158"/>
        <item x="448"/>
        <item x="654"/>
        <item x="603"/>
        <item x="187"/>
        <item x="243"/>
        <item x="377"/>
        <item x="315"/>
        <item x="347"/>
        <item x="299"/>
        <item x="50"/>
        <item x="628"/>
        <item x="25"/>
        <item x="119"/>
        <item x="218"/>
        <item x="334"/>
        <item x="588"/>
        <item x="533"/>
        <item x="29"/>
        <item x="458"/>
        <item x="542"/>
        <item x="131"/>
        <item x="482"/>
        <item x="718"/>
        <item x="865"/>
        <item x="89"/>
        <item x="646"/>
        <item x="416"/>
        <item x="468"/>
        <item x="577"/>
        <item x="206"/>
        <item x="486"/>
        <item x="318"/>
        <item x="885"/>
        <item x="52"/>
        <item x="332"/>
        <item x="836"/>
        <item x="135"/>
        <item x="316"/>
        <item x="369"/>
        <item x="395"/>
        <item x="78"/>
        <item x="254"/>
        <item x="233"/>
        <item x="501"/>
        <item x="540"/>
        <item x="31"/>
        <item x="1"/>
        <item x="3"/>
        <item x="4"/>
        <item x="7"/>
        <item x="9"/>
        <item x="11"/>
        <item x="13"/>
        <item x="15"/>
        <item x="17"/>
        <item x="18"/>
        <item x="20"/>
        <item x="22"/>
        <item x="24"/>
        <item x="26"/>
        <item x="28"/>
        <item x="30"/>
        <item x="32"/>
        <item x="35"/>
        <item x="36"/>
        <item x="38"/>
        <item x="40"/>
        <item x="42"/>
        <item x="44"/>
        <item x="46"/>
        <item x="49"/>
        <item x="51"/>
        <item x="53"/>
        <item x="57"/>
        <item x="58"/>
        <item x="59"/>
        <item x="61"/>
        <item x="63"/>
        <item x="65"/>
        <item x="67"/>
        <item x="69"/>
        <item x="71"/>
        <item x="73"/>
        <item x="75"/>
        <item x="77"/>
        <item x="79"/>
        <item x="80"/>
        <item x="82"/>
        <item x="84"/>
        <item x="86"/>
        <item x="88"/>
        <item x="90"/>
        <item x="92"/>
        <item x="94"/>
        <item x="96"/>
        <item x="99"/>
        <item x="100"/>
        <item x="102"/>
        <item x="104"/>
        <item x="106"/>
        <item x="108"/>
        <item x="110"/>
        <item x="112"/>
        <item x="114"/>
        <item x="116"/>
        <item x="118"/>
        <item x="120"/>
        <item x="122"/>
        <item x="124"/>
        <item x="128"/>
        <item x="130"/>
        <item x="132"/>
        <item x="134"/>
        <item x="136"/>
        <item x="139"/>
        <item x="141"/>
        <item x="143"/>
        <item x="145"/>
        <item x="147"/>
        <item x="149"/>
        <item x="151"/>
        <item x="153"/>
        <item x="155"/>
        <item x="157"/>
        <item x="159"/>
        <item x="162"/>
        <item x="163"/>
        <item x="165"/>
        <item x="167"/>
        <item x="169"/>
        <item x="172"/>
        <item x="174"/>
        <item x="176"/>
        <item x="178"/>
        <item x="180"/>
        <item x="182"/>
        <item x="184"/>
        <item x="186"/>
        <item x="188"/>
        <item x="190"/>
        <item x="192"/>
        <item x="194"/>
        <item x="196"/>
        <item x="198"/>
        <item x="200"/>
        <item x="202"/>
        <item x="204"/>
        <item x="207"/>
        <item x="209"/>
        <item x="211"/>
        <item x="213"/>
        <item x="215"/>
        <item x="217"/>
        <item x="219"/>
        <item x="221"/>
        <item x="225"/>
        <item x="226"/>
        <item x="227"/>
        <item x="229"/>
        <item x="231"/>
        <item x="235"/>
        <item x="237"/>
        <item x="239"/>
        <item x="240"/>
        <item x="242"/>
        <item x="244"/>
        <item x="246"/>
        <item x="248"/>
        <item x="250"/>
        <item x="251"/>
        <item x="252"/>
        <item x="253"/>
        <item x="255"/>
        <item x="257"/>
        <item x="259"/>
        <item x="261"/>
        <item x="263"/>
        <item x="265"/>
        <item x="267"/>
        <item x="269"/>
        <item x="271"/>
        <item x="273"/>
        <item x="276"/>
        <item x="277"/>
        <item x="279"/>
        <item x="281"/>
        <item x="283"/>
        <item x="285"/>
        <item x="286"/>
        <item x="287"/>
        <item x="289"/>
        <item x="291"/>
        <item x="294"/>
        <item x="296"/>
        <item x="298"/>
        <item x="300"/>
        <item x="301"/>
        <item x="303"/>
        <item x="305"/>
        <item x="307"/>
        <item x="309"/>
        <item x="310"/>
        <item x="312"/>
        <item x="314"/>
        <item x="317"/>
        <item x="319"/>
        <item x="320"/>
        <item x="322"/>
        <item x="324"/>
        <item x="326"/>
        <item x="328"/>
        <item x="329"/>
        <item x="331"/>
        <item x="333"/>
        <item x="335"/>
        <item x="337"/>
        <item x="338"/>
        <item x="340"/>
        <item x="342"/>
        <item x="344"/>
        <item x="346"/>
        <item x="348"/>
        <item x="350"/>
        <item x="352"/>
        <item x="354"/>
        <item x="355"/>
        <item x="357"/>
        <item x="359"/>
        <item x="361"/>
        <item x="363"/>
        <item x="365"/>
        <item x="370"/>
        <item x="371"/>
        <item x="372"/>
        <item x="373"/>
        <item x="374"/>
        <item x="376"/>
        <item x="378"/>
        <item x="380"/>
        <item x="382"/>
        <item x="384"/>
        <item x="386"/>
        <item x="388"/>
        <item x="390"/>
        <item x="392"/>
        <item x="394"/>
        <item x="396"/>
        <item x="398"/>
        <item x="401"/>
        <item x="403"/>
        <item x="405"/>
        <item x="407"/>
        <item x="410"/>
        <item x="411"/>
        <item x="413"/>
        <item x="415"/>
        <item x="417"/>
        <item x="419"/>
        <item x="421"/>
        <item x="422"/>
        <item x="424"/>
        <item x="426"/>
        <item x="428"/>
        <item x="430"/>
        <item x="432"/>
        <item x="434"/>
        <item x="436"/>
        <item x="440"/>
        <item x="442"/>
        <item x="444"/>
        <item x="446"/>
        <item x="447"/>
        <item x="449"/>
        <item x="451"/>
        <item x="453"/>
        <item x="455"/>
        <item x="457"/>
        <item x="459"/>
        <item x="461"/>
        <item x="463"/>
        <item x="464"/>
        <item x="465"/>
        <item x="467"/>
        <item x="470"/>
        <item x="473"/>
        <item x="475"/>
        <item x="477"/>
        <item x="479"/>
        <item x="483"/>
        <item x="485"/>
        <item x="487"/>
        <item x="489"/>
        <item x="491"/>
        <item x="493"/>
        <item x="495"/>
        <item x="496"/>
        <item x="498"/>
        <item x="500"/>
        <item x="502"/>
        <item x="504"/>
        <item x="506"/>
        <item x="509"/>
        <item x="511"/>
        <item x="513"/>
        <item x="516"/>
        <item x="518"/>
        <item x="520"/>
        <item x="522"/>
        <item x="524"/>
        <item x="527"/>
        <item x="529"/>
        <item x="531"/>
        <item x="535"/>
        <item x="537"/>
        <item x="539"/>
        <item x="541"/>
        <item x="543"/>
        <item x="545"/>
        <item x="548"/>
        <item x="550"/>
        <item x="552"/>
        <item x="554"/>
        <item x="556"/>
        <item x="558"/>
        <item x="559"/>
        <item x="560"/>
        <item x="561"/>
        <item x="563"/>
        <item x="565"/>
        <item x="568"/>
        <item x="570"/>
        <item x="571"/>
        <item x="572"/>
        <item x="574"/>
        <item x="576"/>
        <item x="578"/>
        <item x="581"/>
        <item x="583"/>
        <item x="585"/>
        <item x="589"/>
        <item x="591"/>
        <item x="593"/>
        <item x="596"/>
        <item x="598"/>
        <item x="600"/>
        <item x="602"/>
        <item x="604"/>
        <item x="606"/>
        <item x="607"/>
        <item x="608"/>
        <item x="613"/>
        <item x="614"/>
        <item x="616"/>
        <item x="618"/>
        <item x="619"/>
        <item x="620"/>
        <item x="622"/>
        <item x="624"/>
        <item x="626"/>
        <item x="629"/>
        <item x="630"/>
        <item x="632"/>
        <item x="634"/>
        <item x="638"/>
        <item x="640"/>
        <item x="642"/>
        <item x="643"/>
        <item x="645"/>
        <item x="647"/>
        <item x="648"/>
        <item x="649"/>
        <item x="651"/>
        <item x="653"/>
        <item x="655"/>
        <item x="657"/>
        <item x="659"/>
        <item x="660"/>
        <item x="662"/>
        <item x="665"/>
        <item x="666"/>
        <item x="668"/>
        <item x="670"/>
        <item x="672"/>
        <item x="674"/>
        <item x="676"/>
        <item x="678"/>
        <item x="680"/>
        <item x="683"/>
        <item x="685"/>
        <item x="687"/>
        <item x="689"/>
        <item x="691"/>
        <item x="693"/>
        <item x="695"/>
        <item x="696"/>
        <item x="698"/>
        <item x="700"/>
        <item x="701"/>
        <item x="702"/>
        <item x="704"/>
        <item x="706"/>
        <item x="707"/>
        <item x="709"/>
        <item x="711"/>
        <item x="713"/>
        <item x="715"/>
        <item x="716"/>
        <item x="717"/>
        <item x="719"/>
        <item x="721"/>
        <item x="724"/>
        <item x="726"/>
        <item x="728"/>
        <item x="732"/>
        <item x="734"/>
        <item x="736"/>
        <item x="740"/>
        <item x="742"/>
        <item x="744"/>
        <item x="746"/>
        <item x="748"/>
        <item x="749"/>
        <item x="751"/>
        <item x="753"/>
        <item x="754"/>
        <item x="756"/>
        <item x="758"/>
        <item x="760"/>
        <item x="762"/>
        <item x="764"/>
        <item x="767"/>
        <item x="769"/>
        <item x="772"/>
        <item x="773"/>
        <item x="774"/>
        <item x="775"/>
        <item x="777"/>
        <item x="779"/>
        <item x="781"/>
        <item x="782"/>
        <item x="784"/>
        <item x="786"/>
        <item x="787"/>
        <item x="788"/>
        <item x="789"/>
        <item x="791"/>
        <item x="793"/>
        <item x="795"/>
        <item x="797"/>
        <item x="799"/>
        <item x="801"/>
        <item x="804"/>
        <item x="805"/>
        <item x="807"/>
        <item x="809"/>
        <item x="811"/>
        <item x="813"/>
        <item x="815"/>
        <item x="817"/>
        <item x="818"/>
        <item x="820"/>
        <item x="822"/>
        <item x="824"/>
        <item x="827"/>
        <item x="829"/>
        <item x="831"/>
        <item x="833"/>
        <item x="835"/>
        <item x="837"/>
        <item x="839"/>
        <item x="841"/>
        <item x="843"/>
        <item x="844"/>
        <item x="846"/>
        <item x="848"/>
        <item x="851"/>
        <item x="853"/>
        <item x="855"/>
        <item x="857"/>
        <item x="859"/>
        <item x="861"/>
        <item x="862"/>
        <item x="864"/>
        <item x="866"/>
        <item x="868"/>
        <item x="872"/>
        <item x="874"/>
        <item x="876"/>
        <item x="877"/>
        <item x="878"/>
        <item x="880"/>
        <item x="882"/>
        <item x="884"/>
        <item x="886"/>
        <item x="888"/>
        <item x="890"/>
        <item x="892"/>
        <item x="894"/>
        <item x="895"/>
        <item x="897"/>
        <item x="899"/>
        <item x="901"/>
        <item x="903"/>
        <item x="905"/>
        <item x="906"/>
        <item x="908"/>
        <item x="910"/>
        <item x="91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 compact="0" outline="0" subtotalTop="0" dragToRow="0" dragToCol="0" dragToPage="0" showAll="0" defaultSubtotal="0"/>
  </pivotFields>
  <rowFields count="1">
    <field x="5"/>
  </rowFields>
  <rowItems count="5">
    <i>
      <x v="712"/>
    </i>
    <i>
      <x v="316"/>
    </i>
    <i>
      <x v="413"/>
    </i>
    <i>
      <x v="884"/>
    </i>
    <i>
      <x v="17"/>
    </i>
  </rowItems>
  <colItems count="1">
    <i/>
  </colItems>
  <dataFields count="1">
    <dataField name="Sum of Sales" fld="12" baseField="0" baseItem="0" numFmtId="168"/>
  </dataFields>
  <chartFormats count="3">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6660741-B856-41B0-AA4D-EFB25062D0F5}" sourceName="Size">
  <pivotTables>
    <pivotTable tabId="18" name="TotalSales"/>
    <pivotTable tabId="19" name="TotalSales"/>
    <pivotTable tabId="20" name="TotalSales"/>
  </pivotTables>
  <data>
    <tabular pivotCacheId="10989210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41B06A5-1859-43B8-BEEE-2182950FD517}" sourceName="Roast Type Name">
  <pivotTables>
    <pivotTable tabId="18" name="TotalSales"/>
    <pivotTable tabId="19" name="TotalSales"/>
    <pivotTable tabId="20" name="TotalSales"/>
  </pivotTables>
  <data>
    <tabular pivotCacheId="10989210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919EB82-AE9F-4A0F-B90D-9D0D169C987B}" sourceName="Loyalty Card">
  <pivotTables>
    <pivotTable tabId="18" name="TotalSales"/>
    <pivotTable tabId="19" name="TotalSales"/>
    <pivotTable tabId="20" name="TotalSales"/>
  </pivotTables>
  <data>
    <tabular pivotCacheId="10989210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99186AA-9872-444C-A1A5-8FDDE1694C75}" cache="Slicer_Size" caption="Size" columnCount="2" rowHeight="241300"/>
  <slicer name="Roast Type Name 1" xr10:uid="{305CEEB9-E2EA-403D-BF85-E37980942484}" cache="Slicer_Roast_Type_Name" caption="Roast Type Name" columnCount="3" rowHeight="241300"/>
  <slicer name="Loyalty Card 1" xr10:uid="{6DB54519-8CBC-4ABD-BAF9-209C5EEFF9B3}"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03DA94-F438-4D37-B9BD-10AEC8C70C4B}" name="Orders" displayName="Orders" ref="A1:P1001" totalsRowShown="0" headerRowDxfId="11">
  <autoFilter ref="A1:P1001" xr:uid="{5A03DA94-F438-4D37-B9BD-10AEC8C70C4B}"/>
  <tableColumns count="16">
    <tableColumn id="1" xr3:uid="{294CB49E-1F09-4825-8387-97B32BAA3A83}" name="Order ID" dataDxfId="10"/>
    <tableColumn id="2" xr3:uid="{7710AAD4-F2CB-4CE9-A0DD-E5162080E9F0}" name="Order Date" dataDxfId="9"/>
    <tableColumn id="3" xr3:uid="{9AAE2561-2EFF-4DF7-BA0B-FFF311FC5E32}" name="Customer ID" dataDxfId="8"/>
    <tableColumn id="4" xr3:uid="{D7F4888E-4ABD-4582-87FF-ED77D8D08D50}" name="Product ID"/>
    <tableColumn id="5" xr3:uid="{2491160E-D3DB-4180-BC17-83BADDB24CFF}" name="Quantity" dataDxfId="7"/>
    <tableColumn id="6" xr3:uid="{D0524D62-A648-497D-BF65-DE44A58A94E5}" name="Customer Name" dataDxfId="6">
      <calculatedColumnFormula>_xlfn.XLOOKUP(C2,customers!$A$1:$A$1001,customers!$B$1:$B$1001,,0,)</calculatedColumnFormula>
    </tableColumn>
    <tableColumn id="7" xr3:uid="{46EA402C-0145-4CC7-9DC1-13DBEF1E3F1B}" name="Email" dataDxfId="5">
      <calculatedColumnFormula>IF(_xlfn.XLOOKUP(C2,customers!$A$1:$A$1001,customers!$C$1:$C$1001,,0,1)=0,"",(_xlfn.XLOOKUP(C2,customers!$A$1:$A$1001,customers!$C$1:$C$1001,,0,1)))</calculatedColumnFormula>
    </tableColumn>
    <tableColumn id="8" xr3:uid="{91164246-4A74-4636-B93D-99A940EAF198}" name="Country" dataDxfId="4">
      <calculatedColumnFormula>_xlfn.XLOOKUP(C2,customers!$A$1:$A$1001,customers!$G$1:$G$1001,,0,1)</calculatedColumnFormula>
    </tableColumn>
    <tableColumn id="9" xr3:uid="{3F60C38F-CCB2-4EE2-B1CA-5B83D5DF0C79}" name="Coffee Type">
      <calculatedColumnFormula>INDEX(products!$A$1:$G$49,MATCH(orders!$D2,products!$A$1:$A$49,0),MATCH(orders!I$1,products!$A$1:$G$1,0))</calculatedColumnFormula>
    </tableColumn>
    <tableColumn id="10" xr3:uid="{CF245850-56EA-455F-9879-6926F4BBB25E}" name="Roast Type">
      <calculatedColumnFormula>INDEX(products!$A$1:$G$49,MATCH(orders!$D2,products!$A$1:$A$49,0),MATCH(orders!J$1,products!$A$1:$G$1,0))</calculatedColumnFormula>
    </tableColumn>
    <tableColumn id="11" xr3:uid="{E8DCE692-DD06-4A8A-A293-03CD41455EB4}" name="Size" dataDxfId="3">
      <calculatedColumnFormula>INDEX(products!$A$1:$G$49,MATCH(orders!$D2,products!$A$1:$A$49,0),MATCH(orders!K$1,products!$A$1:$G$1,0))</calculatedColumnFormula>
    </tableColumn>
    <tableColumn id="12" xr3:uid="{ED6BD780-D1E5-4083-A069-FF3C8950CD8A}" name="Unit Price" dataDxfId="2" dataCellStyle="Currency">
      <calculatedColumnFormula>INDEX(products!$A$1:$G$49,MATCH(orders!$D2,products!$A$1:$A$49,0),MATCH(orders!L$1,products!$A$1:$G$1,0))</calculatedColumnFormula>
    </tableColumn>
    <tableColumn id="13" xr3:uid="{F034700A-85EB-40D9-B8FD-C67210B39278}" name="Sales" dataDxfId="1">
      <calculatedColumnFormula>L2*E2</calculatedColumnFormula>
    </tableColumn>
    <tableColumn id="14" xr3:uid="{2F5BEBA8-6780-4D54-9D17-C9BE3FE2A82A}" name="Coffee Type Name">
      <calculatedColumnFormula>IF(I2="Rob","Robusta",IF(I2="Exc","Excelsa",IF(I2="ARA","Arabica",IF(I2="Lib","Liberica",""))))</calculatedColumnFormula>
    </tableColumn>
    <tableColumn id="15" xr3:uid="{1FF721D1-B049-4FD4-9676-BF0512B91E47}" name="Roast Type Name">
      <calculatedColumnFormula>IF(J2="M","Medium",IF(J2="L","Light",IF(J2="D","Dark","")))</calculatedColumnFormula>
    </tableColumn>
    <tableColumn id="16" xr3:uid="{85EC5D3C-D9F8-4500-8469-A65E1B9874CD}" name="Loyalty Card" dataDxfId="0">
      <calculatedColumnFormula>_xlfn.XLOOKUP(Orders[[#This Row],[Customer ID]],customers!$A$1:$A$1001,customers!$I$1:$I$1001,"",0,1)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006AAC6-B776-421D-968B-88731209F140}" sourceName="Order Date">
  <pivotTables>
    <pivotTable tabId="18" name="TotalSales"/>
    <pivotTable tabId="19" name="TotalSales"/>
    <pivotTable tabId="20" name="TotalSales"/>
  </pivotTables>
  <state minimalRefreshVersion="6" lastRefreshVersion="6" pivotCacheId="10989210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776BF76-9BF8-42E2-87A1-00022873FBD7}" cache="NativeTimeline_Order_Date" caption="Order Date" level="2" selectionLevel="2" scrollPosition="2021-05-09T00:00:00" style="coffe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321D-4F17-4670-86A4-3605932ADA2F}">
  <dimension ref="A1"/>
  <sheetViews>
    <sheetView tabSelected="1" zoomScale="115" zoomScaleNormal="115" workbookViewId="0">
      <selection activeCell="G48" sqref="G48"/>
    </sheetView>
  </sheetViews>
  <sheetFormatPr defaultRowHeight="15" x14ac:dyDescent="0.25"/>
  <cols>
    <col min="1" max="1" width="1.7109375" customWidth="1"/>
  </cols>
  <sheetData>
    <row r="1"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78F9-5042-4084-BD32-1727F5F32109}">
  <dimension ref="A3:F48"/>
  <sheetViews>
    <sheetView workbookViewId="0">
      <selection activeCell="G48" sqref="G4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7" max="10" width="20" bestFit="1" customWidth="1"/>
  </cols>
  <sheetData>
    <row r="3" spans="1:6" x14ac:dyDescent="0.25">
      <c r="A3" s="7" t="s">
        <v>6220</v>
      </c>
      <c r="C3" s="7" t="s">
        <v>6196</v>
      </c>
    </row>
    <row r="4" spans="1:6" x14ac:dyDescent="0.25">
      <c r="A4" s="7" t="s">
        <v>6214</v>
      </c>
      <c r="B4" s="7" t="s">
        <v>6215</v>
      </c>
      <c r="C4" t="s">
        <v>6216</v>
      </c>
      <c r="D4" t="s">
        <v>6217</v>
      </c>
      <c r="E4" t="s">
        <v>6218</v>
      </c>
      <c r="F4" t="s">
        <v>6219</v>
      </c>
    </row>
    <row r="5" spans="1:6" x14ac:dyDescent="0.25">
      <c r="A5" t="s">
        <v>6198</v>
      </c>
      <c r="B5" t="s">
        <v>6202</v>
      </c>
      <c r="C5" s="8">
        <v>186.85499999999999</v>
      </c>
      <c r="D5" s="8">
        <v>305.97000000000003</v>
      </c>
      <c r="E5" s="8">
        <v>213.15999999999997</v>
      </c>
      <c r="F5" s="8">
        <v>123</v>
      </c>
    </row>
    <row r="6" spans="1:6" x14ac:dyDescent="0.25">
      <c r="B6" t="s">
        <v>6203</v>
      </c>
      <c r="C6" s="8">
        <v>251.96499999999997</v>
      </c>
      <c r="D6" s="8">
        <v>129.46</v>
      </c>
      <c r="E6" s="8">
        <v>434.03999999999996</v>
      </c>
      <c r="F6" s="8">
        <v>171.93999999999997</v>
      </c>
    </row>
    <row r="7" spans="1:6" x14ac:dyDescent="0.25">
      <c r="B7" t="s">
        <v>6204</v>
      </c>
      <c r="C7" s="8">
        <v>224.94499999999999</v>
      </c>
      <c r="D7" s="8">
        <v>349.12</v>
      </c>
      <c r="E7" s="8">
        <v>321.04000000000002</v>
      </c>
      <c r="F7" s="8">
        <v>126.035</v>
      </c>
    </row>
    <row r="8" spans="1:6" x14ac:dyDescent="0.25">
      <c r="B8" t="s">
        <v>6205</v>
      </c>
      <c r="C8" s="8">
        <v>307.12</v>
      </c>
      <c r="D8" s="8">
        <v>681.07499999999993</v>
      </c>
      <c r="E8" s="8">
        <v>533.70499999999993</v>
      </c>
      <c r="F8" s="8">
        <v>158.85</v>
      </c>
    </row>
    <row r="9" spans="1:6" x14ac:dyDescent="0.25">
      <c r="B9" t="s">
        <v>6206</v>
      </c>
      <c r="C9" s="8">
        <v>53.664999999999992</v>
      </c>
      <c r="D9" s="8">
        <v>83.025000000000006</v>
      </c>
      <c r="E9" s="8">
        <v>193.83499999999998</v>
      </c>
      <c r="F9" s="8">
        <v>68.039999999999992</v>
      </c>
    </row>
    <row r="10" spans="1:6" x14ac:dyDescent="0.25">
      <c r="B10" t="s">
        <v>6207</v>
      </c>
      <c r="C10" s="8">
        <v>163.01999999999998</v>
      </c>
      <c r="D10" s="8">
        <v>678.3599999999999</v>
      </c>
      <c r="E10" s="8">
        <v>171.04500000000002</v>
      </c>
      <c r="F10" s="8">
        <v>372.255</v>
      </c>
    </row>
    <row r="11" spans="1:6" x14ac:dyDescent="0.25">
      <c r="B11" t="s">
        <v>6208</v>
      </c>
      <c r="C11" s="8">
        <v>345.02</v>
      </c>
      <c r="D11" s="8">
        <v>273.86999999999995</v>
      </c>
      <c r="E11" s="8">
        <v>184.12999999999997</v>
      </c>
      <c r="F11" s="8">
        <v>201.11499999999998</v>
      </c>
    </row>
    <row r="12" spans="1:6" x14ac:dyDescent="0.25">
      <c r="B12" t="s">
        <v>6209</v>
      </c>
      <c r="C12" s="8">
        <v>334.89</v>
      </c>
      <c r="D12" s="8">
        <v>70.95</v>
      </c>
      <c r="E12" s="8">
        <v>134.23000000000002</v>
      </c>
      <c r="F12" s="8">
        <v>166.27499999999998</v>
      </c>
    </row>
    <row r="13" spans="1:6" x14ac:dyDescent="0.25">
      <c r="B13" t="s">
        <v>6210</v>
      </c>
      <c r="C13" s="8">
        <v>178.70999999999998</v>
      </c>
      <c r="D13" s="8">
        <v>166.1</v>
      </c>
      <c r="E13" s="8">
        <v>439.30999999999995</v>
      </c>
      <c r="F13" s="8">
        <v>492.9</v>
      </c>
    </row>
    <row r="14" spans="1:6" x14ac:dyDescent="0.25">
      <c r="B14" t="s">
        <v>6211</v>
      </c>
      <c r="C14" s="8">
        <v>301.98500000000001</v>
      </c>
      <c r="D14" s="8">
        <v>153.76499999999999</v>
      </c>
      <c r="E14" s="8">
        <v>215.55499999999998</v>
      </c>
      <c r="F14" s="8">
        <v>213.66499999999999</v>
      </c>
    </row>
    <row r="15" spans="1:6" x14ac:dyDescent="0.25">
      <c r="B15" t="s">
        <v>6212</v>
      </c>
      <c r="C15" s="8">
        <v>312.83499999999998</v>
      </c>
      <c r="D15" s="8">
        <v>63.249999999999993</v>
      </c>
      <c r="E15" s="8">
        <v>350.89500000000004</v>
      </c>
      <c r="F15" s="8">
        <v>96.405000000000001</v>
      </c>
    </row>
    <row r="16" spans="1:6" x14ac:dyDescent="0.25">
      <c r="B16" t="s">
        <v>6213</v>
      </c>
      <c r="C16" s="8">
        <v>265.62</v>
      </c>
      <c r="D16" s="8">
        <v>526.51499999999987</v>
      </c>
      <c r="E16" s="8">
        <v>187.06</v>
      </c>
      <c r="F16" s="8">
        <v>210.58999999999997</v>
      </c>
    </row>
    <row r="17" spans="1:6" x14ac:dyDescent="0.25">
      <c r="A17" t="s">
        <v>6199</v>
      </c>
      <c r="B17" t="s">
        <v>6202</v>
      </c>
      <c r="C17" s="8">
        <v>47.25</v>
      </c>
      <c r="D17" s="8">
        <v>65.805000000000007</v>
      </c>
      <c r="E17" s="8">
        <v>274.67500000000001</v>
      </c>
      <c r="F17" s="8">
        <v>179.22</v>
      </c>
    </row>
    <row r="18" spans="1:6" x14ac:dyDescent="0.25">
      <c r="B18" t="s">
        <v>6203</v>
      </c>
      <c r="C18" s="8">
        <v>745.44999999999993</v>
      </c>
      <c r="D18" s="8">
        <v>428.88499999999999</v>
      </c>
      <c r="E18" s="8">
        <v>194.17499999999998</v>
      </c>
      <c r="F18" s="8">
        <v>429.82999999999993</v>
      </c>
    </row>
    <row r="19" spans="1:6" x14ac:dyDescent="0.25">
      <c r="B19" t="s">
        <v>6204</v>
      </c>
      <c r="C19" s="8">
        <v>130.47</v>
      </c>
      <c r="D19" s="8">
        <v>271.48500000000001</v>
      </c>
      <c r="E19" s="8">
        <v>281.20499999999998</v>
      </c>
      <c r="F19" s="8">
        <v>231.63000000000002</v>
      </c>
    </row>
    <row r="20" spans="1:6" x14ac:dyDescent="0.25">
      <c r="B20" t="s">
        <v>6205</v>
      </c>
      <c r="C20" s="8">
        <v>27</v>
      </c>
      <c r="D20" s="8">
        <v>347.26</v>
      </c>
      <c r="E20" s="8">
        <v>147.51</v>
      </c>
      <c r="F20" s="8">
        <v>240.04</v>
      </c>
    </row>
    <row r="21" spans="1:6" x14ac:dyDescent="0.25">
      <c r="B21" t="s">
        <v>6206</v>
      </c>
      <c r="C21" s="8">
        <v>255.11499999999995</v>
      </c>
      <c r="D21" s="8">
        <v>541.73</v>
      </c>
      <c r="E21" s="8">
        <v>83.43</v>
      </c>
      <c r="F21" s="8">
        <v>59.079999999999991</v>
      </c>
    </row>
    <row r="22" spans="1:6" x14ac:dyDescent="0.25">
      <c r="B22" t="s">
        <v>6207</v>
      </c>
      <c r="C22" s="8">
        <v>584.78999999999985</v>
      </c>
      <c r="D22" s="8">
        <v>357.42999999999995</v>
      </c>
      <c r="E22" s="8">
        <v>355.34</v>
      </c>
      <c r="F22" s="8">
        <v>140.88</v>
      </c>
    </row>
    <row r="23" spans="1:6" x14ac:dyDescent="0.25">
      <c r="B23" t="s">
        <v>6208</v>
      </c>
      <c r="C23" s="8">
        <v>430.62</v>
      </c>
      <c r="D23" s="8">
        <v>227.42500000000001</v>
      </c>
      <c r="E23" s="8">
        <v>236.315</v>
      </c>
      <c r="F23" s="8">
        <v>414.58499999999992</v>
      </c>
    </row>
    <row r="24" spans="1:6" x14ac:dyDescent="0.25">
      <c r="B24" t="s">
        <v>6209</v>
      </c>
      <c r="C24" s="8">
        <v>22.5</v>
      </c>
      <c r="D24" s="8">
        <v>77.72</v>
      </c>
      <c r="E24" s="8">
        <v>60.5</v>
      </c>
      <c r="F24" s="8">
        <v>139.67999999999998</v>
      </c>
    </row>
    <row r="25" spans="1:6" x14ac:dyDescent="0.25">
      <c r="B25" t="s">
        <v>6210</v>
      </c>
      <c r="C25" s="8">
        <v>126.14999999999999</v>
      </c>
      <c r="D25" s="8">
        <v>195.11</v>
      </c>
      <c r="E25" s="8">
        <v>89.13</v>
      </c>
      <c r="F25" s="8">
        <v>302.65999999999997</v>
      </c>
    </row>
    <row r="26" spans="1:6" x14ac:dyDescent="0.25">
      <c r="B26" t="s">
        <v>6211</v>
      </c>
      <c r="C26" s="8">
        <v>376.03</v>
      </c>
      <c r="D26" s="8">
        <v>523.24</v>
      </c>
      <c r="E26" s="8">
        <v>440.96499999999997</v>
      </c>
      <c r="F26" s="8">
        <v>174.46999999999997</v>
      </c>
    </row>
    <row r="27" spans="1:6" x14ac:dyDescent="0.25">
      <c r="B27" t="s">
        <v>6212</v>
      </c>
      <c r="C27" s="8">
        <v>515.17999999999995</v>
      </c>
      <c r="D27" s="8">
        <v>142.56</v>
      </c>
      <c r="E27" s="8">
        <v>347.03999999999996</v>
      </c>
      <c r="F27" s="8">
        <v>104.08499999999999</v>
      </c>
    </row>
    <row r="28" spans="1:6" x14ac:dyDescent="0.25">
      <c r="B28" t="s">
        <v>6213</v>
      </c>
      <c r="C28" s="8">
        <v>95.859999999999985</v>
      </c>
      <c r="D28" s="8">
        <v>484.76</v>
      </c>
      <c r="E28" s="8">
        <v>94.17</v>
      </c>
      <c r="F28" s="8">
        <v>77.10499999999999</v>
      </c>
    </row>
    <row r="29" spans="1:6" x14ac:dyDescent="0.25">
      <c r="A29" t="s">
        <v>6200</v>
      </c>
      <c r="B29" t="s">
        <v>6202</v>
      </c>
      <c r="C29" s="8">
        <v>258.34500000000003</v>
      </c>
      <c r="D29" s="8">
        <v>139.625</v>
      </c>
      <c r="E29" s="8">
        <v>279.52000000000004</v>
      </c>
      <c r="F29" s="8">
        <v>160.19499999999999</v>
      </c>
    </row>
    <row r="30" spans="1:6" x14ac:dyDescent="0.25">
      <c r="B30" t="s">
        <v>6203</v>
      </c>
      <c r="C30" s="8">
        <v>342.2</v>
      </c>
      <c r="D30" s="8">
        <v>284.24999999999994</v>
      </c>
      <c r="E30" s="8">
        <v>251.83</v>
      </c>
      <c r="F30" s="8">
        <v>80.550000000000011</v>
      </c>
    </row>
    <row r="31" spans="1:6" x14ac:dyDescent="0.25">
      <c r="B31" t="s">
        <v>6204</v>
      </c>
      <c r="C31" s="8">
        <v>418.30499999999989</v>
      </c>
      <c r="D31" s="8">
        <v>468.125</v>
      </c>
      <c r="E31" s="8">
        <v>405.05500000000006</v>
      </c>
      <c r="F31" s="8">
        <v>253.15499999999997</v>
      </c>
    </row>
    <row r="32" spans="1:6" x14ac:dyDescent="0.25">
      <c r="B32" t="s">
        <v>6205</v>
      </c>
      <c r="C32" s="8">
        <v>102.32999999999998</v>
      </c>
      <c r="D32" s="8">
        <v>242.14000000000001</v>
      </c>
      <c r="E32" s="8">
        <v>554.875</v>
      </c>
      <c r="F32" s="8">
        <v>106.23999999999998</v>
      </c>
    </row>
    <row r="33" spans="1:6" x14ac:dyDescent="0.25">
      <c r="B33" t="s">
        <v>6206</v>
      </c>
      <c r="C33" s="8">
        <v>234.71999999999997</v>
      </c>
      <c r="D33" s="8">
        <v>133.08000000000001</v>
      </c>
      <c r="E33" s="8">
        <v>267.2</v>
      </c>
      <c r="F33" s="8">
        <v>272.68999999999994</v>
      </c>
    </row>
    <row r="34" spans="1:6" x14ac:dyDescent="0.25">
      <c r="B34" t="s">
        <v>6207</v>
      </c>
      <c r="C34" s="8">
        <v>430.39</v>
      </c>
      <c r="D34" s="8">
        <v>136.20500000000001</v>
      </c>
      <c r="E34" s="8">
        <v>209.6</v>
      </c>
      <c r="F34" s="8">
        <v>88.334999999999994</v>
      </c>
    </row>
    <row r="35" spans="1:6" x14ac:dyDescent="0.25">
      <c r="B35" t="s">
        <v>6208</v>
      </c>
      <c r="C35" s="8">
        <v>109.005</v>
      </c>
      <c r="D35" s="8">
        <v>393.57499999999999</v>
      </c>
      <c r="E35" s="8">
        <v>61.034999999999997</v>
      </c>
      <c r="F35" s="8">
        <v>199.48999999999998</v>
      </c>
    </row>
    <row r="36" spans="1:6" x14ac:dyDescent="0.25">
      <c r="B36" t="s">
        <v>6209</v>
      </c>
      <c r="C36" s="8">
        <v>287.52499999999998</v>
      </c>
      <c r="D36" s="8">
        <v>288.67</v>
      </c>
      <c r="E36" s="8">
        <v>125.58</v>
      </c>
      <c r="F36" s="8">
        <v>374.13499999999999</v>
      </c>
    </row>
    <row r="37" spans="1:6" x14ac:dyDescent="0.25">
      <c r="B37" t="s">
        <v>6210</v>
      </c>
      <c r="C37" s="8">
        <v>840.92999999999984</v>
      </c>
      <c r="D37" s="8">
        <v>409.875</v>
      </c>
      <c r="E37" s="8">
        <v>171.32999999999998</v>
      </c>
      <c r="F37" s="8">
        <v>221.43999999999997</v>
      </c>
    </row>
    <row r="38" spans="1:6" x14ac:dyDescent="0.25">
      <c r="B38" t="s">
        <v>6211</v>
      </c>
      <c r="C38" s="8">
        <v>299.07</v>
      </c>
      <c r="D38" s="8">
        <v>260.32499999999999</v>
      </c>
      <c r="E38" s="8">
        <v>584.64</v>
      </c>
      <c r="F38" s="8">
        <v>256.36500000000001</v>
      </c>
    </row>
    <row r="39" spans="1:6" x14ac:dyDescent="0.25">
      <c r="B39" t="s">
        <v>6212</v>
      </c>
      <c r="C39" s="8">
        <v>323.32499999999999</v>
      </c>
      <c r="D39" s="8">
        <v>565.57000000000005</v>
      </c>
      <c r="E39" s="8">
        <v>537.80999999999995</v>
      </c>
      <c r="F39" s="8">
        <v>189.47499999999999</v>
      </c>
    </row>
    <row r="40" spans="1:6" x14ac:dyDescent="0.25">
      <c r="B40" t="s">
        <v>6213</v>
      </c>
      <c r="C40" s="8">
        <v>399.48499999999996</v>
      </c>
      <c r="D40" s="8">
        <v>148.19999999999999</v>
      </c>
      <c r="E40" s="8">
        <v>388.21999999999997</v>
      </c>
      <c r="F40" s="8">
        <v>212.07499999999999</v>
      </c>
    </row>
    <row r="41" spans="1:6" x14ac:dyDescent="0.25">
      <c r="A41" t="s">
        <v>6201</v>
      </c>
      <c r="B41" t="s">
        <v>6202</v>
      </c>
      <c r="C41" s="8">
        <v>112.69499999999999</v>
      </c>
      <c r="D41" s="8">
        <v>166.32</v>
      </c>
      <c r="E41" s="8">
        <v>843.71499999999992</v>
      </c>
      <c r="F41" s="8">
        <v>146.685</v>
      </c>
    </row>
    <row r="42" spans="1:6" x14ac:dyDescent="0.25">
      <c r="B42" t="s">
        <v>6203</v>
      </c>
      <c r="C42" s="8">
        <v>114.87999999999998</v>
      </c>
      <c r="D42" s="8">
        <v>133.815</v>
      </c>
      <c r="E42" s="8">
        <v>91.175000000000011</v>
      </c>
      <c r="F42" s="8">
        <v>53.759999999999991</v>
      </c>
    </row>
    <row r="43" spans="1:6" x14ac:dyDescent="0.25">
      <c r="B43" t="s">
        <v>6204</v>
      </c>
      <c r="C43" s="8">
        <v>277.76</v>
      </c>
      <c r="D43" s="8">
        <v>175.41</v>
      </c>
      <c r="E43" s="8">
        <v>462.50999999999993</v>
      </c>
      <c r="F43" s="8">
        <v>399.52499999999998</v>
      </c>
    </row>
    <row r="44" spans="1:6" x14ac:dyDescent="0.25">
      <c r="B44" t="s">
        <v>6205</v>
      </c>
      <c r="C44" s="8">
        <v>197.89499999999998</v>
      </c>
      <c r="D44" s="8">
        <v>289.755</v>
      </c>
      <c r="E44" s="8">
        <v>88.545000000000002</v>
      </c>
      <c r="F44" s="8">
        <v>200.25499999999997</v>
      </c>
    </row>
    <row r="45" spans="1:6" x14ac:dyDescent="0.25">
      <c r="B45" t="s">
        <v>6206</v>
      </c>
      <c r="C45" s="8">
        <v>193.11499999999998</v>
      </c>
      <c r="D45" s="8">
        <v>212.49499999999998</v>
      </c>
      <c r="E45" s="8">
        <v>292.29000000000002</v>
      </c>
      <c r="F45" s="8">
        <v>304.46999999999997</v>
      </c>
    </row>
    <row r="46" spans="1:6" x14ac:dyDescent="0.25">
      <c r="B46" t="s">
        <v>6207</v>
      </c>
      <c r="C46" s="8">
        <v>179.79</v>
      </c>
      <c r="D46" s="8">
        <v>426.2</v>
      </c>
      <c r="E46" s="8">
        <v>170.08999999999997</v>
      </c>
      <c r="F46" s="8">
        <v>379.31</v>
      </c>
    </row>
    <row r="47" spans="1:6" x14ac:dyDescent="0.25">
      <c r="B47" t="s">
        <v>6208</v>
      </c>
      <c r="C47" s="8">
        <v>247.28999999999996</v>
      </c>
      <c r="D47" s="8">
        <v>246.685</v>
      </c>
      <c r="E47" s="8">
        <v>271.05499999999995</v>
      </c>
      <c r="F47" s="8">
        <v>141.69999999999999</v>
      </c>
    </row>
    <row r="48" spans="1:6" x14ac:dyDescent="0.25">
      <c r="B48" t="s">
        <v>6209</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V1001"/>
  <sheetViews>
    <sheetView topLeftCell="A2" zoomScale="130" zoomScaleNormal="130" workbookViewId="0">
      <selection activeCell="A2" sqref="A2"/>
    </sheetView>
  </sheetViews>
  <sheetFormatPr defaultRowHeight="15" x14ac:dyDescent="0.25"/>
  <cols>
    <col min="1" max="1" width="16.5703125" bestFit="1" customWidth="1"/>
    <col min="2" max="2" width="15.5703125" customWidth="1"/>
    <col min="3" max="3" width="17.42578125" bestFit="1" customWidth="1"/>
    <col min="4" max="4" width="11.85546875" customWidth="1"/>
    <col min="5" max="5" width="10.140625" customWidth="1"/>
    <col min="6" max="6" width="19" customWidth="1"/>
    <col min="7" max="7" width="27" customWidth="1"/>
    <col min="8" max="8" width="16" customWidth="1"/>
    <col min="9" max="9" width="12.7109375" customWidth="1"/>
    <col min="10" max="10" width="12" customWidth="1"/>
    <col min="11" max="11" width="7.7109375" customWidth="1"/>
    <col min="12" max="12" width="11" customWidth="1"/>
    <col min="13" max="13" width="10.5703125" customWidth="1"/>
    <col min="14" max="14" width="18.5703125" customWidth="1"/>
    <col min="15" max="15" width="17.5703125" customWidth="1"/>
    <col min="16" max="16" width="16" customWidth="1"/>
    <col min="22" max="22" width="12.28515625" bestFit="1" customWidth="1"/>
  </cols>
  <sheetData>
    <row r="1" spans="1:22"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22" x14ac:dyDescent="0.25">
      <c r="A2" s="2" t="s">
        <v>490</v>
      </c>
      <c r="B2" s="3">
        <v>43713</v>
      </c>
      <c r="C2" s="2" t="s">
        <v>491</v>
      </c>
      <c r="D2" t="s">
        <v>6138</v>
      </c>
      <c r="E2" s="2">
        <v>2</v>
      </c>
      <c r="F2" s="2" t="str">
        <f>_xlfn.XLOOKUP(C2,customers!$A$1:$A$1001,customers!$B$1:$B$1001,,0,)</f>
        <v>Aloisia Allner</v>
      </c>
      <c r="G2" s="2" t="str">
        <f>IF(_xlfn.XLOOKUP(C2,customers!$A$1:$A$1001,customers!$C$1:$C$1001,,0,1)=0,"",(_xlfn.XLOOKUP(C2,customers!$A$1:$A$1001,customers!$C$1:$C$1001,,0,1)))</f>
        <v>aallner0@lulu.com</v>
      </c>
      <c r="H2" s="2" t="str">
        <f>_xlfn.XLOOKUP(C2,customers!$A$1:$A$1001,customers!$G$1:$G$1001,,0,1)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6">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ID]],customers!$A$1:$A$1001,customers!$I$1:$I$1001,"",0,1)</f>
        <v>Yes</v>
      </c>
    </row>
    <row r="3" spans="1:22" x14ac:dyDescent="0.25">
      <c r="A3" s="2" t="s">
        <v>490</v>
      </c>
      <c r="B3" s="3">
        <v>43713</v>
      </c>
      <c r="C3" s="2" t="s">
        <v>491</v>
      </c>
      <c r="D3" t="s">
        <v>6139</v>
      </c>
      <c r="E3" s="2">
        <v>5</v>
      </c>
      <c r="F3" s="2" t="str">
        <f>_xlfn.XLOOKUP(C3,customers!$A$1:$A$1001,customers!$B$1:$B$1001,,0,)</f>
        <v>Aloisia Allner</v>
      </c>
      <c r="G3" s="2" t="str">
        <f>IF(_xlfn.XLOOKUP(C3,customers!$A$1:$A$1001,customers!$C$1:$C$1001,,0,1)=0,"",(_xlfn.XLOOKUP(C3,customers!$A$1:$A$1001,customers!$C$1:$C$1001,,0,1)))</f>
        <v>aallner0@lulu.com</v>
      </c>
      <c r="H3" s="2" t="str">
        <f>_xlfn.XLOOKUP(C3,customers!$A$1:$A$1001,customers!$G$1:$G$1001,,0,1)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6">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ID]],customers!$A$1:$A$1001,customers!$I$1:$I$1001,"",0,1)</f>
        <v>Yes</v>
      </c>
    </row>
    <row r="4" spans="1:22" x14ac:dyDescent="0.25">
      <c r="A4" s="2" t="s">
        <v>501</v>
      </c>
      <c r="B4" s="3">
        <v>44364</v>
      </c>
      <c r="C4" s="2" t="s">
        <v>502</v>
      </c>
      <c r="D4" t="s">
        <v>6140</v>
      </c>
      <c r="E4" s="2">
        <v>1</v>
      </c>
      <c r="F4" s="2" t="str">
        <f>_xlfn.XLOOKUP(C4,customers!$A$1:$A$1001,customers!$B$1:$B$1001,,0,)</f>
        <v>Jami Redholes</v>
      </c>
      <c r="G4" s="2" t="str">
        <f>IF(_xlfn.XLOOKUP(C4,customers!$A$1:$A$1001,customers!$C$1:$C$1001,,0,1)=0,"",(_xlfn.XLOOKUP(C4,customers!$A$1:$A$1001,customers!$C$1:$C$1001,,0,1)))</f>
        <v>jredholes2@tmall.com</v>
      </c>
      <c r="H4" s="2" t="str">
        <f>_xlfn.XLOOKUP(C4,customers!$A$1:$A$1001,customers!$G$1:$G$1001,,0,1)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6">
        <f>INDEX(products!$A$1:$G$49,MATCH(orders!$D4,products!$A$1:$A$49,0),MATCH(orders!L$1,products!$A$1:$G$1,0))</f>
        <v>12.95</v>
      </c>
      <c r="M4" s="5">
        <f t="shared" si="0"/>
        <v>12.95</v>
      </c>
      <c r="N4" t="str">
        <f t="shared" si="1"/>
        <v>Arabica</v>
      </c>
      <c r="O4" t="str">
        <f t="shared" si="2"/>
        <v>Light</v>
      </c>
      <c r="P4" t="str">
        <f>_xlfn.XLOOKUP(Orders[[#This Row],[Customer ID]],customers!$A$1:$A$1001,customers!$I$1:$I$1001,"",0,1)</f>
        <v>Yes</v>
      </c>
    </row>
    <row r="5" spans="1:22" x14ac:dyDescent="0.25">
      <c r="A5" s="2" t="s">
        <v>512</v>
      </c>
      <c r="B5" s="3">
        <v>44392</v>
      </c>
      <c r="C5" s="2" t="s">
        <v>513</v>
      </c>
      <c r="D5" t="s">
        <v>6141</v>
      </c>
      <c r="E5" s="2">
        <v>2</v>
      </c>
      <c r="F5" s="2" t="str">
        <f>_xlfn.XLOOKUP(C5,customers!$A$1:$A$1001,customers!$B$1:$B$1001,,0,)</f>
        <v>Christoffer O' Shea</v>
      </c>
      <c r="G5" s="2" t="str">
        <f>IF(_xlfn.XLOOKUP(C5,customers!$A$1:$A$1001,customers!$C$1:$C$1001,,0,1)=0,"",(_xlfn.XLOOKUP(C5,customers!$A$1:$A$1001,customers!$C$1:$C$1001,,0,1)))</f>
        <v/>
      </c>
      <c r="H5" s="2" t="str">
        <f>_xlfn.XLOOKUP(C5,customers!$A$1:$A$1001,customers!$G$1:$G$1001,,0,1)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6">
        <f>INDEX(products!$A$1:$G$49,MATCH(orders!$D5,products!$A$1:$A$49,0),MATCH(orders!L$1,products!$A$1:$G$1,0))</f>
        <v>13.75</v>
      </c>
      <c r="M5" s="5">
        <f t="shared" si="0"/>
        <v>27.5</v>
      </c>
      <c r="N5" t="str">
        <f t="shared" si="1"/>
        <v>Excelsa</v>
      </c>
      <c r="O5" t="str">
        <f t="shared" si="2"/>
        <v>Medium</v>
      </c>
      <c r="P5" t="str">
        <f>_xlfn.XLOOKUP(Orders[[#This Row],[Customer ID]],customers!$A$1:$A$1001,customers!$I$1:$I$1001,"",0,1)</f>
        <v>No</v>
      </c>
      <c r="V5" s="5">
        <f>SUM(Orders[Sales])</f>
        <v>45134.254999999997</v>
      </c>
    </row>
    <row r="6" spans="1:22" x14ac:dyDescent="0.25">
      <c r="A6" s="2" t="s">
        <v>512</v>
      </c>
      <c r="B6" s="3">
        <v>44392</v>
      </c>
      <c r="C6" s="2" t="s">
        <v>513</v>
      </c>
      <c r="D6" t="s">
        <v>6142</v>
      </c>
      <c r="E6" s="2">
        <v>2</v>
      </c>
      <c r="F6" s="2" t="str">
        <f>_xlfn.XLOOKUP(C6,customers!$A$1:$A$1001,customers!$B$1:$B$1001,,0,)</f>
        <v>Christoffer O' Shea</v>
      </c>
      <c r="G6" s="2" t="str">
        <f>IF(_xlfn.XLOOKUP(C6,customers!$A$1:$A$1001,customers!$C$1:$C$1001,,0,1)=0,"",(_xlfn.XLOOKUP(C6,customers!$A$1:$A$1001,customers!$C$1:$C$1001,,0,1)))</f>
        <v/>
      </c>
      <c r="H6" s="2" t="str">
        <f>_xlfn.XLOOKUP(C6,customers!$A$1:$A$1001,customers!$G$1:$G$1001,,0,1)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6">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ID]],customers!$A$1:$A$1001,customers!$I$1:$I$1001,"",0,1)</f>
        <v>No</v>
      </c>
    </row>
    <row r="7" spans="1:22" x14ac:dyDescent="0.25">
      <c r="A7" s="2" t="s">
        <v>519</v>
      </c>
      <c r="B7" s="3">
        <v>44412</v>
      </c>
      <c r="C7" s="2" t="s">
        <v>520</v>
      </c>
      <c r="D7" t="s">
        <v>6143</v>
      </c>
      <c r="E7" s="2">
        <v>3</v>
      </c>
      <c r="F7" s="2" t="str">
        <f>_xlfn.XLOOKUP(C7,customers!$A$1:$A$1001,customers!$B$1:$B$1001,,0,)</f>
        <v>Beryle Cottier</v>
      </c>
      <c r="G7" s="2" t="str">
        <f>IF(_xlfn.XLOOKUP(C7,customers!$A$1:$A$1001,customers!$C$1:$C$1001,,0,1)=0,"",(_xlfn.XLOOKUP(C7,customers!$A$1:$A$1001,customers!$C$1:$C$1001,,0,1)))</f>
        <v/>
      </c>
      <c r="H7" s="2" t="str">
        <f>_xlfn.XLOOKUP(C7,customers!$A$1:$A$1001,customers!$G$1:$G$1001,,0,1)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6">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ID]],customers!$A$1:$A$1001,customers!$I$1:$I$1001,"",0,1)</f>
        <v>No</v>
      </c>
    </row>
    <row r="8" spans="1:22" x14ac:dyDescent="0.25">
      <c r="A8" s="2" t="s">
        <v>524</v>
      </c>
      <c r="B8" s="3">
        <v>44582</v>
      </c>
      <c r="C8" s="2" t="s">
        <v>525</v>
      </c>
      <c r="D8" t="s">
        <v>6144</v>
      </c>
      <c r="E8" s="2">
        <v>3</v>
      </c>
      <c r="F8" s="2" t="str">
        <f>_xlfn.XLOOKUP(C8,customers!$A$1:$A$1001,customers!$B$1:$B$1001,,0,)</f>
        <v>Shaylynn Lobe</v>
      </c>
      <c r="G8" s="2" t="str">
        <f>IF(_xlfn.XLOOKUP(C8,customers!$A$1:$A$1001,customers!$C$1:$C$1001,,0,1)=0,"",(_xlfn.XLOOKUP(C8,customers!$A$1:$A$1001,customers!$C$1:$C$1001,,0,1)))</f>
        <v>slobe6@nifty.com</v>
      </c>
      <c r="H8" s="2" t="str">
        <f>_xlfn.XLOOKUP(C8,customers!$A$1:$A$1001,customers!$G$1:$G$1001,,0,1)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6">
        <f>INDEX(products!$A$1:$G$49,MATCH(orders!$D8,products!$A$1:$A$49,0),MATCH(orders!L$1,products!$A$1:$G$1,0))</f>
        <v>7.29</v>
      </c>
      <c r="M8" s="5">
        <f t="shared" si="0"/>
        <v>21.87</v>
      </c>
      <c r="N8" t="str">
        <f t="shared" si="1"/>
        <v>Excelsa</v>
      </c>
      <c r="O8" t="str">
        <f t="shared" si="2"/>
        <v>Dark</v>
      </c>
      <c r="P8" t="str">
        <f>_xlfn.XLOOKUP(Orders[[#This Row],[Customer ID]],customers!$A$1:$A$1001,customers!$I$1:$I$1001,"",0,1)</f>
        <v>Yes</v>
      </c>
    </row>
    <row r="9" spans="1:22" x14ac:dyDescent="0.25">
      <c r="A9" s="2" t="s">
        <v>530</v>
      </c>
      <c r="B9" s="3">
        <v>44701</v>
      </c>
      <c r="C9" s="2" t="s">
        <v>531</v>
      </c>
      <c r="D9" t="s">
        <v>6145</v>
      </c>
      <c r="E9" s="2">
        <v>1</v>
      </c>
      <c r="F9" s="2" t="str">
        <f>_xlfn.XLOOKUP(C9,customers!$A$1:$A$1001,customers!$B$1:$B$1001,,0,)</f>
        <v>Melvin Wharfe</v>
      </c>
      <c r="G9" s="2" t="str">
        <f>IF(_xlfn.XLOOKUP(C9,customers!$A$1:$A$1001,customers!$C$1:$C$1001,,0,1)=0,"",(_xlfn.XLOOKUP(C9,customers!$A$1:$A$1001,customers!$C$1:$C$1001,,0,1)))</f>
        <v/>
      </c>
      <c r="H9" s="2" t="str">
        <f>_xlfn.XLOOKUP(C9,customers!$A$1:$A$1001,customers!$G$1:$G$1001,,0,1)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6">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ID]],customers!$A$1:$A$1001,customers!$I$1:$I$1001,"",0,1)</f>
        <v>Yes</v>
      </c>
    </row>
    <row r="10" spans="1:22" x14ac:dyDescent="0.25">
      <c r="A10" s="2" t="s">
        <v>535</v>
      </c>
      <c r="B10" s="3">
        <v>43467</v>
      </c>
      <c r="C10" s="2" t="s">
        <v>536</v>
      </c>
      <c r="D10" t="s">
        <v>6146</v>
      </c>
      <c r="E10" s="2">
        <v>3</v>
      </c>
      <c r="F10" s="2" t="str">
        <f>_xlfn.XLOOKUP(C10,customers!$A$1:$A$1001,customers!$B$1:$B$1001,,0,)</f>
        <v>Guthrey Petracci</v>
      </c>
      <c r="G10" s="2" t="str">
        <f>IF(_xlfn.XLOOKUP(C10,customers!$A$1:$A$1001,customers!$C$1:$C$1001,,0,1)=0,"",(_xlfn.XLOOKUP(C10,customers!$A$1:$A$1001,customers!$C$1:$C$1001,,0,1)))</f>
        <v>gpetracci8@livejournal.com</v>
      </c>
      <c r="H10" s="2" t="str">
        <f>_xlfn.XLOOKUP(C10,customers!$A$1:$A$1001,customers!$G$1:$G$1001,,0,1)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6">
        <f>INDEX(products!$A$1:$G$49,MATCH(orders!$D10,products!$A$1:$A$49,0),MATCH(orders!L$1,products!$A$1:$G$1,0))</f>
        <v>5.97</v>
      </c>
      <c r="M10" s="5">
        <f t="shared" si="0"/>
        <v>17.91</v>
      </c>
      <c r="N10" t="str">
        <f t="shared" si="1"/>
        <v>Robusta</v>
      </c>
      <c r="O10" t="str">
        <f t="shared" si="2"/>
        <v>Medium</v>
      </c>
      <c r="P10" t="str">
        <f>_xlfn.XLOOKUP(Orders[[#This Row],[Customer ID]],customers!$A$1:$A$1001,customers!$I$1:$I$1001,"",0,1)</f>
        <v>No</v>
      </c>
    </row>
    <row r="11" spans="1:22" x14ac:dyDescent="0.25">
      <c r="A11" s="2" t="s">
        <v>541</v>
      </c>
      <c r="B11" s="3">
        <v>43713</v>
      </c>
      <c r="C11" s="2" t="s">
        <v>542</v>
      </c>
      <c r="D11" t="s">
        <v>6146</v>
      </c>
      <c r="E11" s="2">
        <v>1</v>
      </c>
      <c r="F11" s="2" t="str">
        <f>_xlfn.XLOOKUP(C11,customers!$A$1:$A$1001,customers!$B$1:$B$1001,,0,)</f>
        <v>Rodger Raven</v>
      </c>
      <c r="G11" s="2" t="str">
        <f>IF(_xlfn.XLOOKUP(C11,customers!$A$1:$A$1001,customers!$C$1:$C$1001,,0,1)=0,"",(_xlfn.XLOOKUP(C11,customers!$A$1:$A$1001,customers!$C$1:$C$1001,,0,1)))</f>
        <v>rraven9@ed.gov</v>
      </c>
      <c r="H11" s="2" t="str">
        <f>_xlfn.XLOOKUP(C11,customers!$A$1:$A$1001,customers!$G$1:$G$1001,,0,1)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6">
        <f>INDEX(products!$A$1:$G$49,MATCH(orders!$D11,products!$A$1:$A$49,0),MATCH(orders!L$1,products!$A$1:$G$1,0))</f>
        <v>5.97</v>
      </c>
      <c r="M11" s="5">
        <f t="shared" si="0"/>
        <v>5.97</v>
      </c>
      <c r="N11" t="str">
        <f t="shared" si="1"/>
        <v>Robusta</v>
      </c>
      <c r="O11" t="str">
        <f t="shared" si="2"/>
        <v>Medium</v>
      </c>
      <c r="P11" t="str">
        <f>_xlfn.XLOOKUP(Orders[[#This Row],[Customer ID]],customers!$A$1:$A$1001,customers!$I$1:$I$1001,"",0,1)</f>
        <v>No</v>
      </c>
    </row>
    <row r="12" spans="1:22" x14ac:dyDescent="0.25">
      <c r="A12" s="2" t="s">
        <v>547</v>
      </c>
      <c r="B12" s="3">
        <v>44263</v>
      </c>
      <c r="C12" s="2" t="s">
        <v>548</v>
      </c>
      <c r="D12" t="s">
        <v>6147</v>
      </c>
      <c r="E12" s="2">
        <v>4</v>
      </c>
      <c r="F12" s="2" t="str">
        <f>_xlfn.XLOOKUP(C12,customers!$A$1:$A$1001,customers!$B$1:$B$1001,,0,)</f>
        <v>Ferrell Ferber</v>
      </c>
      <c r="G12" s="2" t="str">
        <f>IF(_xlfn.XLOOKUP(C12,customers!$A$1:$A$1001,customers!$C$1:$C$1001,,0,1)=0,"",(_xlfn.XLOOKUP(C12,customers!$A$1:$A$1001,customers!$C$1:$C$1001,,0,1)))</f>
        <v>fferbera@businesswire.com</v>
      </c>
      <c r="H12" s="2" t="str">
        <f>_xlfn.XLOOKUP(C12,customers!$A$1:$A$1001,customers!$G$1:$G$1001,,0,1)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6">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ID]],customers!$A$1:$A$1001,customers!$I$1:$I$1001,"",0,1)</f>
        <v>No</v>
      </c>
    </row>
    <row r="13" spans="1:22" x14ac:dyDescent="0.25">
      <c r="A13" s="2" t="s">
        <v>553</v>
      </c>
      <c r="B13" s="3">
        <v>44132</v>
      </c>
      <c r="C13" s="2" t="s">
        <v>554</v>
      </c>
      <c r="D13" t="s">
        <v>6148</v>
      </c>
      <c r="E13" s="2">
        <v>5</v>
      </c>
      <c r="F13" s="2" t="str">
        <f>_xlfn.XLOOKUP(C13,customers!$A$1:$A$1001,customers!$B$1:$B$1001,,0,)</f>
        <v>Duky Phizackerly</v>
      </c>
      <c r="G13" s="2" t="str">
        <f>IF(_xlfn.XLOOKUP(C13,customers!$A$1:$A$1001,customers!$C$1:$C$1001,,0,1)=0,"",(_xlfn.XLOOKUP(C13,customers!$A$1:$A$1001,customers!$C$1:$C$1001,,0,1)))</f>
        <v>dphizackerlyb@utexas.edu</v>
      </c>
      <c r="H13" s="2" t="str">
        <f>_xlfn.XLOOKUP(C13,customers!$A$1:$A$1001,customers!$G$1:$G$1001,,0,1)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6">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ID]],customers!$A$1:$A$1001,customers!$I$1:$I$1001,"",0,1)</f>
        <v>Yes</v>
      </c>
    </row>
    <row r="14" spans="1:22" x14ac:dyDescent="0.25">
      <c r="A14" s="2" t="s">
        <v>559</v>
      </c>
      <c r="B14" s="3">
        <v>44744</v>
      </c>
      <c r="C14" s="2" t="s">
        <v>560</v>
      </c>
      <c r="D14" t="s">
        <v>6138</v>
      </c>
      <c r="E14" s="2">
        <v>5</v>
      </c>
      <c r="F14" s="2" t="str">
        <f>_xlfn.XLOOKUP(C14,customers!$A$1:$A$1001,customers!$B$1:$B$1001,,0,)</f>
        <v>Rosaleen Scholar</v>
      </c>
      <c r="G14" s="2" t="str">
        <f>IF(_xlfn.XLOOKUP(C14,customers!$A$1:$A$1001,customers!$C$1:$C$1001,,0,1)=0,"",(_xlfn.XLOOKUP(C14,customers!$A$1:$A$1001,customers!$C$1:$C$1001,,0,1)))</f>
        <v>rscholarc@nyu.edu</v>
      </c>
      <c r="H14" s="2" t="str">
        <f>_xlfn.XLOOKUP(C14,customers!$A$1:$A$1001,customers!$G$1:$G$1001,,0,1)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6">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ID]],customers!$A$1:$A$1001,customers!$I$1:$I$1001,"",0,1)</f>
        <v>No</v>
      </c>
    </row>
    <row r="15" spans="1:22" x14ac:dyDescent="0.25">
      <c r="A15" s="2" t="s">
        <v>565</v>
      </c>
      <c r="B15" s="3">
        <v>43973</v>
      </c>
      <c r="C15" s="2" t="s">
        <v>566</v>
      </c>
      <c r="D15" t="s">
        <v>6149</v>
      </c>
      <c r="E15" s="2">
        <v>2</v>
      </c>
      <c r="F15" s="2" t="str">
        <f>_xlfn.XLOOKUP(C15,customers!$A$1:$A$1001,customers!$B$1:$B$1001,,0,)</f>
        <v>Terence Vanyutin</v>
      </c>
      <c r="G15" s="2" t="str">
        <f>IF(_xlfn.XLOOKUP(C15,customers!$A$1:$A$1001,customers!$C$1:$C$1001,,0,1)=0,"",(_xlfn.XLOOKUP(C15,customers!$A$1:$A$1001,customers!$C$1:$C$1001,,0,1)))</f>
        <v>tvanyutind@wix.com</v>
      </c>
      <c r="H15" s="2" t="str">
        <f>_xlfn.XLOOKUP(C15,customers!$A$1:$A$1001,customers!$G$1:$G$1001,,0,1)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6">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ID]],customers!$A$1:$A$1001,customers!$I$1:$I$1001,"",0,1)</f>
        <v>No</v>
      </c>
    </row>
    <row r="16" spans="1:22" x14ac:dyDescent="0.25">
      <c r="A16" s="2" t="s">
        <v>570</v>
      </c>
      <c r="B16" s="3">
        <v>44656</v>
      </c>
      <c r="C16" s="2" t="s">
        <v>571</v>
      </c>
      <c r="D16" t="s">
        <v>6150</v>
      </c>
      <c r="E16" s="2">
        <v>3</v>
      </c>
      <c r="F16" s="2" t="str">
        <f>_xlfn.XLOOKUP(C16,customers!$A$1:$A$1001,customers!$B$1:$B$1001,,0,)</f>
        <v>Patrice Trobe</v>
      </c>
      <c r="G16" s="2" t="str">
        <f>IF(_xlfn.XLOOKUP(C16,customers!$A$1:$A$1001,customers!$C$1:$C$1001,,0,1)=0,"",(_xlfn.XLOOKUP(C16,customers!$A$1:$A$1001,customers!$C$1:$C$1001,,0,1)))</f>
        <v>ptrobee@wunderground.com</v>
      </c>
      <c r="H16" s="2" t="str">
        <f>_xlfn.XLOOKUP(C16,customers!$A$1:$A$1001,customers!$G$1:$G$1001,,0,1)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6">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ID]],customers!$A$1:$A$1001,customers!$I$1:$I$1001,"",0,1)</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IF(_xlfn.XLOOKUP(C17,customers!$A$1:$A$1001,customers!$C$1:$C$1001,,0,1)=0,"",(_xlfn.XLOOKUP(C17,customers!$A$1:$A$1001,customers!$C$1:$C$1001,,0,1)))</f>
        <v>loscroftf@ebay.co.uk</v>
      </c>
      <c r="H17" s="2" t="str">
        <f>_xlfn.XLOOKUP(C17,customers!$A$1:$A$1001,customers!$G$1:$G$1001,,0,1)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6">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ID]],customers!$A$1:$A$1001,customers!$I$1:$I$1001,"",0,1)</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IF(_xlfn.XLOOKUP(C18,customers!$A$1:$A$1001,customers!$C$1:$C$1001,,0,1)=0,"",(_xlfn.XLOOKUP(C18,customers!$A$1:$A$1001,customers!$C$1:$C$1001,,0,1)))</f>
        <v>malabasterg@hexun.com</v>
      </c>
      <c r="H18" s="2" t="str">
        <f>_xlfn.XLOOKUP(C18,customers!$A$1:$A$1001,customers!$G$1:$G$1001,,0,1)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6">
        <f>INDEX(products!$A$1:$G$49,MATCH(orders!$D18,products!$A$1:$A$49,0),MATCH(orders!L$1,products!$A$1:$G$1,0))</f>
        <v>3.375</v>
      </c>
      <c r="M18" s="5">
        <f t="shared" si="0"/>
        <v>20.25</v>
      </c>
      <c r="N18" t="str">
        <f t="shared" si="1"/>
        <v>Arabica</v>
      </c>
      <c r="O18" t="str">
        <f t="shared" si="2"/>
        <v>Medium</v>
      </c>
      <c r="P18" t="str">
        <f>_xlfn.XLOOKUP(Orders[[#This Row],[Customer ID]],customers!$A$1:$A$1001,customers!$I$1:$I$1001,"",0,1)</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IF(_xlfn.XLOOKUP(C19,customers!$A$1:$A$1001,customers!$C$1:$C$1001,,0,1)=0,"",(_xlfn.XLOOKUP(C19,customers!$A$1:$A$1001,customers!$C$1:$C$1001,,0,1)))</f>
        <v>rbroxuph@jimdo.com</v>
      </c>
      <c r="H19" s="2" t="str">
        <f>_xlfn.XLOOKUP(C19,customers!$A$1:$A$1001,customers!$G$1:$G$1001,,0,1)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6">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ID]],customers!$A$1:$A$1001,customers!$I$1:$I$1001,"",0,1)</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IF(_xlfn.XLOOKUP(C20,customers!$A$1:$A$1001,customers!$C$1:$C$1001,,0,1)=0,"",(_xlfn.XLOOKUP(C20,customers!$A$1:$A$1001,customers!$C$1:$C$1001,,0,1)))</f>
        <v>predfordi@ow.ly</v>
      </c>
      <c r="H20" s="2" t="str">
        <f>_xlfn.XLOOKUP(C20,customers!$A$1:$A$1001,customers!$G$1:$G$1001,,0,1)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6">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ID]],customers!$A$1:$A$1001,customers!$I$1:$I$1001,"",0,1)</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IF(_xlfn.XLOOKUP(C21,customers!$A$1:$A$1001,customers!$C$1:$C$1001,,0,1)=0,"",(_xlfn.XLOOKUP(C21,customers!$A$1:$A$1001,customers!$C$1:$C$1001,,0,1)))</f>
        <v>acorradinoj@harvard.edu</v>
      </c>
      <c r="H21" s="2" t="str">
        <f>_xlfn.XLOOKUP(C21,customers!$A$1:$A$1001,customers!$G$1:$G$1001,,0,1)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6">
        <f>INDEX(products!$A$1:$G$49,MATCH(orders!$D21,products!$A$1:$A$49,0),MATCH(orders!L$1,products!$A$1:$G$1,0))</f>
        <v>3.375</v>
      </c>
      <c r="M21" s="5">
        <f t="shared" si="0"/>
        <v>16.875</v>
      </c>
      <c r="N21" t="str">
        <f t="shared" si="1"/>
        <v>Arabica</v>
      </c>
      <c r="O21" t="str">
        <f t="shared" si="2"/>
        <v>Medium</v>
      </c>
      <c r="P21" t="str">
        <f>_xlfn.XLOOKUP(Orders[[#This Row],[Customer ID]],customers!$A$1:$A$1001,customers!$I$1:$I$1001,"",0,1)</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IF(_xlfn.XLOOKUP(C22,customers!$A$1:$A$1001,customers!$C$1:$C$1001,,0,1)=0,"",(_xlfn.XLOOKUP(C22,customers!$A$1:$A$1001,customers!$C$1:$C$1001,,0,1)))</f>
        <v>acorradinoj@harvard.edu</v>
      </c>
      <c r="H22" s="2" t="str">
        <f>_xlfn.XLOOKUP(C22,customers!$A$1:$A$1001,customers!$G$1:$G$1001,,0,1)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6">
        <f>INDEX(products!$A$1:$G$49,MATCH(orders!$D22,products!$A$1:$A$49,0),MATCH(orders!L$1,products!$A$1:$G$1,0))</f>
        <v>3.645</v>
      </c>
      <c r="M22" s="5">
        <f t="shared" si="0"/>
        <v>14.58</v>
      </c>
      <c r="N22" t="str">
        <f t="shared" si="1"/>
        <v>Excelsa</v>
      </c>
      <c r="O22" t="str">
        <f t="shared" si="2"/>
        <v>Dark</v>
      </c>
      <c r="P22" t="str">
        <f>_xlfn.XLOOKUP(Orders[[#This Row],[Customer ID]],customers!$A$1:$A$1001,customers!$I$1:$I$1001,"",0,1)</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IF(_xlfn.XLOOKUP(C23,customers!$A$1:$A$1001,customers!$C$1:$C$1001,,0,1)=0,"",(_xlfn.XLOOKUP(C23,customers!$A$1:$A$1001,customers!$C$1:$C$1001,,0,1)))</f>
        <v>adavidowskyl@netvibes.com</v>
      </c>
      <c r="H23" s="2" t="str">
        <f>_xlfn.XLOOKUP(C23,customers!$A$1:$A$1001,customers!$G$1:$G$1001,,0,1)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6">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ID]],customers!$A$1:$A$1001,customers!$I$1:$I$1001,"",0,1)</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IF(_xlfn.XLOOKUP(C24,customers!$A$1:$A$1001,customers!$C$1:$C$1001,,0,1)=0,"",(_xlfn.XLOOKUP(C24,customers!$A$1:$A$1001,customers!$C$1:$C$1001,,0,1)))</f>
        <v>aantukm@kickstarter.com</v>
      </c>
      <c r="H24" s="2" t="str">
        <f>_xlfn.XLOOKUP(C24,customers!$A$1:$A$1001,customers!$G$1:$G$1001,,0,1)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6">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ID]],customers!$A$1:$A$1001,customers!$I$1:$I$1001,"",0,1)</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IF(_xlfn.XLOOKUP(C25,customers!$A$1:$A$1001,customers!$C$1:$C$1001,,0,1)=0,"",(_xlfn.XLOOKUP(C25,customers!$A$1:$A$1001,customers!$C$1:$C$1001,,0,1)))</f>
        <v>ikleinertn@timesonline.co.uk</v>
      </c>
      <c r="H25" s="2" t="str">
        <f>_xlfn.XLOOKUP(C25,customers!$A$1:$A$1001,customers!$G$1:$G$1001,,0,1)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6">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ID]],customers!$A$1:$A$1001,customers!$I$1:$I$1001,"",0,1)</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IF(_xlfn.XLOOKUP(C26,customers!$A$1:$A$1001,customers!$C$1:$C$1001,,0,1)=0,"",(_xlfn.XLOOKUP(C26,customers!$A$1:$A$1001,customers!$C$1:$C$1001,,0,1)))</f>
        <v>cblofeldo@amazon.co.uk</v>
      </c>
      <c r="H26" s="2" t="str">
        <f>_xlfn.XLOOKUP(C26,customers!$A$1:$A$1001,customers!$G$1:$G$1001,,0,1)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6">
        <f>INDEX(products!$A$1:$G$49,MATCH(orders!$D26,products!$A$1:$A$49,0),MATCH(orders!L$1,products!$A$1:$G$1,0))</f>
        <v>11.25</v>
      </c>
      <c r="M26" s="5">
        <f t="shared" si="0"/>
        <v>11.25</v>
      </c>
      <c r="N26" t="str">
        <f t="shared" si="1"/>
        <v>Arabica</v>
      </c>
      <c r="O26" t="str">
        <f t="shared" si="2"/>
        <v>Medium</v>
      </c>
      <c r="P26" t="str">
        <f>_xlfn.XLOOKUP(Orders[[#This Row],[Customer ID]],customers!$A$1:$A$1001,customers!$I$1:$I$1001,"",0,1)</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IF(_xlfn.XLOOKUP(C27,customers!$A$1:$A$1001,customers!$C$1:$C$1001,,0,1)=0,"",(_xlfn.XLOOKUP(C27,customers!$A$1:$A$1001,customers!$C$1:$C$1001,,0,1)))</f>
        <v/>
      </c>
      <c r="H27" s="2" t="str">
        <f>_xlfn.XLOOKUP(C27,customers!$A$1:$A$1001,customers!$G$1:$G$1001,,0,1)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6">
        <f>INDEX(products!$A$1:$G$49,MATCH(orders!$D27,products!$A$1:$A$49,0),MATCH(orders!L$1,products!$A$1:$G$1,0))</f>
        <v>4.125</v>
      </c>
      <c r="M27" s="5">
        <f t="shared" si="0"/>
        <v>12.375</v>
      </c>
      <c r="N27" t="str">
        <f t="shared" si="1"/>
        <v>Excelsa</v>
      </c>
      <c r="O27" t="str">
        <f t="shared" si="2"/>
        <v>Medium</v>
      </c>
      <c r="P27" t="str">
        <f>_xlfn.XLOOKUP(Orders[[#This Row],[Customer ID]],customers!$A$1:$A$1001,customers!$I$1:$I$1001,"",0,1)</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IF(_xlfn.XLOOKUP(C28,customers!$A$1:$A$1001,customers!$C$1:$C$1001,,0,1)=0,"",(_xlfn.XLOOKUP(C28,customers!$A$1:$A$1001,customers!$C$1:$C$1001,,0,1)))</f>
        <v>sshalesq@umich.edu</v>
      </c>
      <c r="H28" s="2" t="str">
        <f>_xlfn.XLOOKUP(C28,customers!$A$1:$A$1001,customers!$G$1:$G$1001,,0,1)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6">
        <f>INDEX(products!$A$1:$G$49,MATCH(orders!$D28,products!$A$1:$A$49,0),MATCH(orders!L$1,products!$A$1:$G$1,0))</f>
        <v>6.75</v>
      </c>
      <c r="M28" s="5">
        <f t="shared" si="0"/>
        <v>27</v>
      </c>
      <c r="N28" t="str">
        <f t="shared" si="1"/>
        <v>Arabica</v>
      </c>
      <c r="O28" t="str">
        <f t="shared" si="2"/>
        <v>Medium</v>
      </c>
      <c r="P28" t="str">
        <f>_xlfn.XLOOKUP(Orders[[#This Row],[Customer ID]],customers!$A$1:$A$1001,customers!$I$1:$I$1001,"",0,1)</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IF(_xlfn.XLOOKUP(C29,customers!$A$1:$A$1001,customers!$C$1:$C$1001,,0,1)=0,"",(_xlfn.XLOOKUP(C29,customers!$A$1:$A$1001,customers!$C$1:$C$1001,,0,1)))</f>
        <v>vdanneilr@mtv.com</v>
      </c>
      <c r="H29" s="2" t="str">
        <f>_xlfn.XLOOKUP(C29,customers!$A$1:$A$1001,customers!$G$1:$G$1001,,0,1)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6">
        <f>INDEX(products!$A$1:$G$49,MATCH(orders!$D29,products!$A$1:$A$49,0),MATCH(orders!L$1,products!$A$1:$G$1,0))</f>
        <v>3.375</v>
      </c>
      <c r="M29" s="5">
        <f t="shared" si="0"/>
        <v>16.875</v>
      </c>
      <c r="N29" t="str">
        <f t="shared" si="1"/>
        <v>Arabica</v>
      </c>
      <c r="O29" t="str">
        <f t="shared" si="2"/>
        <v>Medium</v>
      </c>
      <c r="P29" t="str">
        <f>_xlfn.XLOOKUP(Orders[[#This Row],[Customer ID]],customers!$A$1:$A$1001,customers!$I$1:$I$1001,"",0,1)</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IF(_xlfn.XLOOKUP(C30,customers!$A$1:$A$1001,customers!$C$1:$C$1001,,0,1)=0,"",(_xlfn.XLOOKUP(C30,customers!$A$1:$A$1001,customers!$C$1:$C$1001,,0,1)))</f>
        <v>tnewburys@usda.gov</v>
      </c>
      <c r="H30" s="2" t="str">
        <f>_xlfn.XLOOKUP(C30,customers!$A$1:$A$1001,customers!$G$1:$G$1001,,0,1)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6">
        <f>INDEX(products!$A$1:$G$49,MATCH(orders!$D30,products!$A$1:$A$49,0),MATCH(orders!L$1,products!$A$1:$G$1,0))</f>
        <v>5.97</v>
      </c>
      <c r="M30" s="5">
        <f t="shared" si="0"/>
        <v>17.91</v>
      </c>
      <c r="N30" t="str">
        <f t="shared" si="1"/>
        <v>Arabica</v>
      </c>
      <c r="O30" t="str">
        <f t="shared" si="2"/>
        <v>Dark</v>
      </c>
      <c r="P30" t="str">
        <f>_xlfn.XLOOKUP(Orders[[#This Row],[Customer ID]],customers!$A$1:$A$1001,customers!$I$1:$I$1001,"",0,1)</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IF(_xlfn.XLOOKUP(C31,customers!$A$1:$A$1001,customers!$C$1:$C$1001,,0,1)=0,"",(_xlfn.XLOOKUP(C31,customers!$A$1:$A$1001,customers!$C$1:$C$1001,,0,1)))</f>
        <v>mcalcuttt@baidu.com</v>
      </c>
      <c r="H31" s="2" t="str">
        <f>_xlfn.XLOOKUP(C31,customers!$A$1:$A$1001,customers!$G$1:$G$1001,,0,1)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6">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ID]],customers!$A$1:$A$1001,customers!$I$1:$I$1001,"",0,1)</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IF(_xlfn.XLOOKUP(C32,customers!$A$1:$A$1001,customers!$C$1:$C$1001,,0,1)=0,"",(_xlfn.XLOOKUP(C32,customers!$A$1:$A$1001,customers!$C$1:$C$1001,,0,1)))</f>
        <v/>
      </c>
      <c r="H32" s="2" t="str">
        <f>_xlfn.XLOOKUP(C32,customers!$A$1:$A$1001,customers!$G$1:$G$1001,,0,1)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6">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ID]],customers!$A$1:$A$1001,customers!$I$1:$I$1001,"",0,1)</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IF(_xlfn.XLOOKUP(C33,customers!$A$1:$A$1001,customers!$C$1:$C$1001,,0,1)=0,"",(_xlfn.XLOOKUP(C33,customers!$A$1:$A$1001,customers!$C$1:$C$1001,,0,1)))</f>
        <v/>
      </c>
      <c r="H33" s="2" t="str">
        <f>_xlfn.XLOOKUP(C33,customers!$A$1:$A$1001,customers!$G$1:$G$1001,,0,1)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6">
        <f>INDEX(products!$A$1:$G$49,MATCH(orders!$D33,products!$A$1:$A$49,0),MATCH(orders!L$1,products!$A$1:$G$1,0))</f>
        <v>5.97</v>
      </c>
      <c r="M33" s="5">
        <f t="shared" si="0"/>
        <v>35.82</v>
      </c>
      <c r="N33" t="str">
        <f t="shared" si="1"/>
        <v>Arabica</v>
      </c>
      <c r="O33" t="str">
        <f t="shared" si="2"/>
        <v>Dark</v>
      </c>
      <c r="P33" t="str">
        <f>_xlfn.XLOOKUP(Orders[[#This Row],[Customer ID]],customers!$A$1:$A$1001,customers!$I$1:$I$1001,"",0,1)</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IF(_xlfn.XLOOKUP(C34,customers!$A$1:$A$1001,customers!$C$1:$C$1001,,0,1)=0,"",(_xlfn.XLOOKUP(C34,customers!$A$1:$A$1001,customers!$C$1:$C$1001,,0,1)))</f>
        <v/>
      </c>
      <c r="H34" s="2" t="str">
        <f>_xlfn.XLOOKUP(C34,customers!$A$1:$A$1001,customers!$G$1:$G$1001,,0,1)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6">
        <f>INDEX(products!$A$1:$G$49,MATCH(orders!$D34,products!$A$1:$A$49,0),MATCH(orders!L$1,products!$A$1:$G$1,0))</f>
        <v>8.73</v>
      </c>
      <c r="M34" s="5">
        <f t="shared" si="0"/>
        <v>52.38</v>
      </c>
      <c r="N34" t="str">
        <f t="shared" si="1"/>
        <v>Liberica</v>
      </c>
      <c r="O34" t="str">
        <f t="shared" si="2"/>
        <v>Medium</v>
      </c>
      <c r="P34" t="str">
        <f>_xlfn.XLOOKUP(Orders[[#This Row],[Customer ID]],customers!$A$1:$A$1001,customers!$I$1:$I$1001,"",0,1)</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IF(_xlfn.XLOOKUP(C35,customers!$A$1:$A$1001,customers!$C$1:$C$1001,,0,1)=0,"",(_xlfn.XLOOKUP(C35,customers!$A$1:$A$1001,customers!$C$1:$C$1001,,0,1)))</f>
        <v>ggatheralx@123-reg.co.uk</v>
      </c>
      <c r="H35" s="2" t="str">
        <f>_xlfn.XLOOKUP(C35,customers!$A$1:$A$1001,customers!$G$1:$G$1001,,0,1)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6">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ID]],customers!$A$1:$A$1001,customers!$I$1:$I$1001,"",0,1)</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IF(_xlfn.XLOOKUP(C36,customers!$A$1:$A$1001,customers!$C$1:$C$1001,,0,1)=0,"",(_xlfn.XLOOKUP(C36,customers!$A$1:$A$1001,customers!$C$1:$C$1001,,0,1)))</f>
        <v>uwelberryy@ebay.co.uk</v>
      </c>
      <c r="H36" s="2" t="str">
        <f>_xlfn.XLOOKUP(C36,customers!$A$1:$A$1001,customers!$G$1:$G$1001,,0,1)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6">
        <f>INDEX(products!$A$1:$G$49,MATCH(orders!$D36,products!$A$1:$A$49,0),MATCH(orders!L$1,products!$A$1:$G$1,0))</f>
        <v>9.51</v>
      </c>
      <c r="M36" s="5">
        <f t="shared" si="0"/>
        <v>57.06</v>
      </c>
      <c r="N36" t="str">
        <f t="shared" si="1"/>
        <v>Liberica</v>
      </c>
      <c r="O36" t="str">
        <f t="shared" si="2"/>
        <v>Light</v>
      </c>
      <c r="P36" t="str">
        <f>_xlfn.XLOOKUP(Orders[[#This Row],[Customer ID]],customers!$A$1:$A$1001,customers!$I$1:$I$1001,"",0,1)</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IF(_xlfn.XLOOKUP(C37,customers!$A$1:$A$1001,customers!$C$1:$C$1001,,0,1)=0,"",(_xlfn.XLOOKUP(C37,customers!$A$1:$A$1001,customers!$C$1:$C$1001,,0,1)))</f>
        <v>feilhartz@who.int</v>
      </c>
      <c r="H37" s="2" t="str">
        <f>_xlfn.XLOOKUP(C37,customers!$A$1:$A$1001,customers!$G$1:$G$1001,,0,1)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6">
        <f>INDEX(products!$A$1:$G$49,MATCH(orders!$D37,products!$A$1:$A$49,0),MATCH(orders!L$1,products!$A$1:$G$1,0))</f>
        <v>5.97</v>
      </c>
      <c r="M37" s="5">
        <f t="shared" si="0"/>
        <v>35.82</v>
      </c>
      <c r="N37" t="str">
        <f t="shared" si="1"/>
        <v>Arabica</v>
      </c>
      <c r="O37" t="str">
        <f t="shared" si="2"/>
        <v>Dark</v>
      </c>
      <c r="P37" t="str">
        <f>_xlfn.XLOOKUP(Orders[[#This Row],[Customer ID]],customers!$A$1:$A$1001,customers!$I$1:$I$1001,"",0,1)</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IF(_xlfn.XLOOKUP(C38,customers!$A$1:$A$1001,customers!$C$1:$C$1001,,0,1)=0,"",(_xlfn.XLOOKUP(C38,customers!$A$1:$A$1001,customers!$C$1:$C$1001,,0,1)))</f>
        <v>zponting10@altervista.org</v>
      </c>
      <c r="H38" s="2" t="str">
        <f>_xlfn.XLOOKUP(C38,customers!$A$1:$A$1001,customers!$G$1:$G$1001,,0,1)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6">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ID]],customers!$A$1:$A$1001,customers!$I$1:$I$1001,"",0,1)</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IF(_xlfn.XLOOKUP(C39,customers!$A$1:$A$1001,customers!$C$1:$C$1001,,0,1)=0,"",(_xlfn.XLOOKUP(C39,customers!$A$1:$A$1001,customers!$C$1:$C$1001,,0,1)))</f>
        <v>sstrase11@booking.com</v>
      </c>
      <c r="H39" s="2" t="str">
        <f>_xlfn.XLOOKUP(C39,customers!$A$1:$A$1001,customers!$G$1:$G$1001,,0,1)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6">
        <f>INDEX(products!$A$1:$G$49,MATCH(orders!$D39,products!$A$1:$A$49,0),MATCH(orders!L$1,products!$A$1:$G$1,0))</f>
        <v>9.51</v>
      </c>
      <c r="M39" s="5">
        <f t="shared" si="0"/>
        <v>28.53</v>
      </c>
      <c r="N39" t="str">
        <f t="shared" si="1"/>
        <v>Liberica</v>
      </c>
      <c r="O39" t="str">
        <f t="shared" si="2"/>
        <v>Light</v>
      </c>
      <c r="P39" t="str">
        <f>_xlfn.XLOOKUP(Orders[[#This Row],[Customer ID]],customers!$A$1:$A$1001,customers!$I$1:$I$1001,"",0,1)</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IF(_xlfn.XLOOKUP(C40,customers!$A$1:$A$1001,customers!$C$1:$C$1001,,0,1)=0,"",(_xlfn.XLOOKUP(C40,customers!$A$1:$A$1001,customers!$C$1:$C$1001,,0,1)))</f>
        <v>dde12@unesco.org</v>
      </c>
      <c r="H40" s="2" t="str">
        <f>_xlfn.XLOOKUP(C40,customers!$A$1:$A$1001,customers!$G$1:$G$1001,,0,1)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6">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ID]],customers!$A$1:$A$1001,customers!$I$1:$I$1001,"",0,1)</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IF(_xlfn.XLOOKUP(C41,customers!$A$1:$A$1001,customers!$C$1:$C$1001,,0,1)=0,"",(_xlfn.XLOOKUP(C41,customers!$A$1:$A$1001,customers!$C$1:$C$1001,,0,1)))</f>
        <v/>
      </c>
      <c r="H41" s="2" t="str">
        <f>_xlfn.XLOOKUP(C41,customers!$A$1:$A$1001,customers!$G$1:$G$1001,,0,1)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6">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ID]],customers!$A$1:$A$1001,customers!$I$1:$I$1001,"",0,1)</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IF(_xlfn.XLOOKUP(C42,customers!$A$1:$A$1001,customers!$C$1:$C$1001,,0,1)=0,"",(_xlfn.XLOOKUP(C42,customers!$A$1:$A$1001,customers!$C$1:$C$1001,,0,1)))</f>
        <v/>
      </c>
      <c r="H42" s="2" t="str">
        <f>_xlfn.XLOOKUP(C42,customers!$A$1:$A$1001,customers!$G$1:$G$1001,,0,1)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6">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ID]],customers!$A$1:$A$1001,customers!$I$1:$I$1001,"",0,1)</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IF(_xlfn.XLOOKUP(C43,customers!$A$1:$A$1001,customers!$C$1:$C$1001,,0,1)=0,"",(_xlfn.XLOOKUP(C43,customers!$A$1:$A$1001,customers!$C$1:$C$1001,,0,1)))</f>
        <v>lyeoland15@pbs.org</v>
      </c>
      <c r="H43" s="2" t="str">
        <f>_xlfn.XLOOKUP(C43,customers!$A$1:$A$1001,customers!$G$1:$G$1001,,0,1)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6">
        <f>INDEX(products!$A$1:$G$49,MATCH(orders!$D43,products!$A$1:$A$49,0),MATCH(orders!L$1,products!$A$1:$G$1,0))</f>
        <v>3.645</v>
      </c>
      <c r="M43" s="5">
        <f t="shared" si="0"/>
        <v>7.29</v>
      </c>
      <c r="N43" t="str">
        <f t="shared" si="1"/>
        <v>Excelsa</v>
      </c>
      <c r="O43" t="str">
        <f t="shared" si="2"/>
        <v>Dark</v>
      </c>
      <c r="P43" t="str">
        <f>_xlfn.XLOOKUP(Orders[[#This Row],[Customer ID]],customers!$A$1:$A$1001,customers!$I$1:$I$1001,"",0,1)</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IF(_xlfn.XLOOKUP(C44,customers!$A$1:$A$1001,customers!$C$1:$C$1001,,0,1)=0,"",(_xlfn.XLOOKUP(C44,customers!$A$1:$A$1001,customers!$C$1:$C$1001,,0,1)))</f>
        <v>atolworthy16@toplist.cz</v>
      </c>
      <c r="H44" s="2" t="str">
        <f>_xlfn.XLOOKUP(C44,customers!$A$1:$A$1001,customers!$G$1:$G$1001,,0,1)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6">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ID]],customers!$A$1:$A$1001,customers!$I$1:$I$1001,"",0,1)</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IF(_xlfn.XLOOKUP(C45,customers!$A$1:$A$1001,customers!$C$1:$C$1001,,0,1)=0,"",(_xlfn.XLOOKUP(C45,customers!$A$1:$A$1001,customers!$C$1:$C$1001,,0,1)))</f>
        <v/>
      </c>
      <c r="H45" s="2" t="str">
        <f>_xlfn.XLOOKUP(C45,customers!$A$1:$A$1001,customers!$G$1:$G$1001,,0,1)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6">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ID]],customers!$A$1:$A$1001,customers!$I$1:$I$1001,"",0,1)</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IF(_xlfn.XLOOKUP(C46,customers!$A$1:$A$1001,customers!$C$1:$C$1001,,0,1)=0,"",(_xlfn.XLOOKUP(C46,customers!$A$1:$A$1001,customers!$C$1:$C$1001,,0,1)))</f>
        <v>obaudassi18@seesaa.net</v>
      </c>
      <c r="H46" s="2" t="str">
        <f>_xlfn.XLOOKUP(C46,customers!$A$1:$A$1001,customers!$G$1:$G$1001,,0,1)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6">
        <f>INDEX(products!$A$1:$G$49,MATCH(orders!$D46,products!$A$1:$A$49,0),MATCH(orders!L$1,products!$A$1:$G$1,0))</f>
        <v>8.25</v>
      </c>
      <c r="M46" s="5">
        <f t="shared" si="0"/>
        <v>16.5</v>
      </c>
      <c r="N46" t="str">
        <f t="shared" si="1"/>
        <v>Excelsa</v>
      </c>
      <c r="O46" t="str">
        <f t="shared" si="2"/>
        <v>Medium</v>
      </c>
      <c r="P46" t="str">
        <f>_xlfn.XLOOKUP(Orders[[#This Row],[Customer ID]],customers!$A$1:$A$1001,customers!$I$1:$I$1001,"",0,1)</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IF(_xlfn.XLOOKUP(C47,customers!$A$1:$A$1001,customers!$C$1:$C$1001,,0,1)=0,"",(_xlfn.XLOOKUP(C47,customers!$A$1:$A$1001,customers!$C$1:$C$1001,,0,1)))</f>
        <v>pkingsbury19@comcast.net</v>
      </c>
      <c r="H47" s="2" t="str">
        <f>_xlfn.XLOOKUP(C47,customers!$A$1:$A$1001,customers!$G$1:$G$1001,,0,1)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6">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ID]],customers!$A$1:$A$1001,customers!$I$1:$I$1001,"",0,1)</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IF(_xlfn.XLOOKUP(C48,customers!$A$1:$A$1001,customers!$C$1:$C$1001,,0,1)=0,"",(_xlfn.XLOOKUP(C48,customers!$A$1:$A$1001,customers!$C$1:$C$1001,,0,1)))</f>
        <v/>
      </c>
      <c r="H48" s="2" t="str">
        <f>_xlfn.XLOOKUP(C48,customers!$A$1:$A$1001,customers!$G$1:$G$1001,,0,1)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6">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ID]],customers!$A$1:$A$1001,customers!$I$1:$I$1001,"",0,1)</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IF(_xlfn.XLOOKUP(C49,customers!$A$1:$A$1001,customers!$C$1:$C$1001,,0,1)=0,"",(_xlfn.XLOOKUP(C49,customers!$A$1:$A$1001,customers!$C$1:$C$1001,,0,1)))</f>
        <v>acurley1b@hao123.com</v>
      </c>
      <c r="H49" s="2" t="str">
        <f>_xlfn.XLOOKUP(C49,customers!$A$1:$A$1001,customers!$G$1:$G$1001,,0,1)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6">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ID]],customers!$A$1:$A$1001,customers!$I$1:$I$1001,"",0,1)</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IF(_xlfn.XLOOKUP(C50,customers!$A$1:$A$1001,customers!$C$1:$C$1001,,0,1)=0,"",(_xlfn.XLOOKUP(C50,customers!$A$1:$A$1001,customers!$C$1:$C$1001,,0,1)))</f>
        <v>rmcgilvary1c@tamu.edu</v>
      </c>
      <c r="H50" s="2" t="str">
        <f>_xlfn.XLOOKUP(C50,customers!$A$1:$A$1001,customers!$G$1:$G$1001,,0,1)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6">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ID]],customers!$A$1:$A$1001,customers!$I$1:$I$1001,"",0,1)</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IF(_xlfn.XLOOKUP(C51,customers!$A$1:$A$1001,customers!$C$1:$C$1001,,0,1)=0,"",(_xlfn.XLOOKUP(C51,customers!$A$1:$A$1001,customers!$C$1:$C$1001,,0,1)))</f>
        <v>ipikett1d@xinhuanet.com</v>
      </c>
      <c r="H51" s="2" t="str">
        <f>_xlfn.XLOOKUP(C51,customers!$A$1:$A$1001,customers!$G$1:$G$1001,,0,1)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6">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ID]],customers!$A$1:$A$1001,customers!$I$1:$I$1001,"",0,1)</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IF(_xlfn.XLOOKUP(C52,customers!$A$1:$A$1001,customers!$C$1:$C$1001,,0,1)=0,"",(_xlfn.XLOOKUP(C52,customers!$A$1:$A$1001,customers!$C$1:$C$1001,,0,1)))</f>
        <v>ibouldon1e@gizmodo.com</v>
      </c>
      <c r="H52" s="2" t="str">
        <f>_xlfn.XLOOKUP(C52,customers!$A$1:$A$1001,customers!$G$1:$G$1001,,0,1)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6">
        <f>INDEX(products!$A$1:$G$49,MATCH(orders!$D52,products!$A$1:$A$49,0),MATCH(orders!L$1,products!$A$1:$G$1,0))</f>
        <v>7.77</v>
      </c>
      <c r="M52" s="5">
        <f t="shared" si="0"/>
        <v>15.54</v>
      </c>
      <c r="N52" t="str">
        <f t="shared" si="1"/>
        <v>Liberica</v>
      </c>
      <c r="O52" t="str">
        <f t="shared" si="2"/>
        <v>Dark</v>
      </c>
      <c r="P52" t="str">
        <f>_xlfn.XLOOKUP(Orders[[#This Row],[Customer ID]],customers!$A$1:$A$1001,customers!$I$1:$I$1001,"",0,1)</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IF(_xlfn.XLOOKUP(C53,customers!$A$1:$A$1001,customers!$C$1:$C$1001,,0,1)=0,"",(_xlfn.XLOOKUP(C53,customers!$A$1:$A$1001,customers!$C$1:$C$1001,,0,1)))</f>
        <v>kflanders1f@over-blog.com</v>
      </c>
      <c r="H53" s="2" t="str">
        <f>_xlfn.XLOOKUP(C53,customers!$A$1:$A$1001,customers!$G$1:$G$1001,,0,1)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6">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ID]],customers!$A$1:$A$1001,customers!$I$1:$I$1001,"",0,1)</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IF(_xlfn.XLOOKUP(C54,customers!$A$1:$A$1001,customers!$C$1:$C$1001,,0,1)=0,"",(_xlfn.XLOOKUP(C54,customers!$A$1:$A$1001,customers!$C$1:$C$1001,,0,1)))</f>
        <v>hmattioli1g@webmd.com</v>
      </c>
      <c r="H54" s="2" t="str">
        <f>_xlfn.XLOOKUP(C54,customers!$A$1:$A$1001,customers!$G$1:$G$1001,,0,1)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6">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ID]],customers!$A$1:$A$1001,customers!$I$1:$I$1001,"",0,1)</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IF(_xlfn.XLOOKUP(C55,customers!$A$1:$A$1001,customers!$C$1:$C$1001,,0,1)=0,"",(_xlfn.XLOOKUP(C55,customers!$A$1:$A$1001,customers!$C$1:$C$1001,,0,1)))</f>
        <v>hmattioli1g@webmd.com</v>
      </c>
      <c r="H55" s="2" t="str">
        <f>_xlfn.XLOOKUP(C55,customers!$A$1:$A$1001,customers!$G$1:$G$1001,,0,1)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6">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ID]],customers!$A$1:$A$1001,customers!$I$1:$I$1001,"",0,1)</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IF(_xlfn.XLOOKUP(C56,customers!$A$1:$A$1001,customers!$C$1:$C$1001,,0,1)=0,"",(_xlfn.XLOOKUP(C56,customers!$A$1:$A$1001,customers!$C$1:$C$1001,,0,1)))</f>
        <v>agillard1i@issuu.com</v>
      </c>
      <c r="H56" s="2" t="str">
        <f>_xlfn.XLOOKUP(C56,customers!$A$1:$A$1001,customers!$G$1:$G$1001,,0,1)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6">
        <f>INDEX(products!$A$1:$G$49,MATCH(orders!$D56,products!$A$1:$A$49,0),MATCH(orders!L$1,products!$A$1:$G$1,0))</f>
        <v>14.55</v>
      </c>
      <c r="M56" s="5">
        <f t="shared" si="0"/>
        <v>72.75</v>
      </c>
      <c r="N56" t="str">
        <f t="shared" si="1"/>
        <v>Liberica</v>
      </c>
      <c r="O56" t="str">
        <f t="shared" si="2"/>
        <v>Medium</v>
      </c>
      <c r="P56" t="str">
        <f>_xlfn.XLOOKUP(Orders[[#This Row],[Customer ID]],customers!$A$1:$A$1001,customers!$I$1:$I$1001,"",0,1)</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IF(_xlfn.XLOOKUP(C57,customers!$A$1:$A$1001,customers!$C$1:$C$1001,,0,1)=0,"",(_xlfn.XLOOKUP(C57,customers!$A$1:$A$1001,customers!$C$1:$C$1001,,0,1)))</f>
        <v/>
      </c>
      <c r="H57" s="2" t="str">
        <f>_xlfn.XLOOKUP(C57,customers!$A$1:$A$1001,customers!$G$1:$G$1001,,0,1)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6">
        <f>INDEX(products!$A$1:$G$49,MATCH(orders!$D57,products!$A$1:$A$49,0),MATCH(orders!L$1,products!$A$1:$G$1,0))</f>
        <v>15.85</v>
      </c>
      <c r="M57" s="5">
        <f t="shared" si="0"/>
        <v>47.55</v>
      </c>
      <c r="N57" t="str">
        <f t="shared" si="1"/>
        <v>Liberica</v>
      </c>
      <c r="O57" t="str">
        <f t="shared" si="2"/>
        <v>Light</v>
      </c>
      <c r="P57" t="str">
        <f>_xlfn.XLOOKUP(Orders[[#This Row],[Customer ID]],customers!$A$1:$A$1001,customers!$I$1:$I$1001,"",0,1)</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IF(_xlfn.XLOOKUP(C58,customers!$A$1:$A$1001,customers!$C$1:$C$1001,,0,1)=0,"",(_xlfn.XLOOKUP(C58,customers!$A$1:$A$1001,customers!$C$1:$C$1001,,0,1)))</f>
        <v>tgrizard1k@odnoklassniki.ru</v>
      </c>
      <c r="H58" s="2" t="str">
        <f>_xlfn.XLOOKUP(C58,customers!$A$1:$A$1001,customers!$G$1:$G$1001,,0,1)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6">
        <f>INDEX(products!$A$1:$G$49,MATCH(orders!$D58,products!$A$1:$A$49,0),MATCH(orders!L$1,products!$A$1:$G$1,0))</f>
        <v>3.645</v>
      </c>
      <c r="M58" s="5">
        <f t="shared" si="0"/>
        <v>10.935</v>
      </c>
      <c r="N58" t="str">
        <f t="shared" si="1"/>
        <v>Excelsa</v>
      </c>
      <c r="O58" t="str">
        <f t="shared" si="2"/>
        <v>Dark</v>
      </c>
      <c r="P58" t="str">
        <f>_xlfn.XLOOKUP(Orders[[#This Row],[Customer ID]],customers!$A$1:$A$1001,customers!$I$1:$I$1001,"",0,1)</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IF(_xlfn.XLOOKUP(C59,customers!$A$1:$A$1001,customers!$C$1:$C$1001,,0,1)=0,"",(_xlfn.XLOOKUP(C59,customers!$A$1:$A$1001,customers!$C$1:$C$1001,,0,1)))</f>
        <v>rrelton1l@stanford.edu</v>
      </c>
      <c r="H59" s="2" t="str">
        <f>_xlfn.XLOOKUP(C59,customers!$A$1:$A$1001,customers!$G$1:$G$1001,,0,1)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6">
        <f>INDEX(products!$A$1:$G$49,MATCH(orders!$D59,products!$A$1:$A$49,0),MATCH(orders!L$1,products!$A$1:$G$1,0))</f>
        <v>14.85</v>
      </c>
      <c r="M59" s="5">
        <f t="shared" si="0"/>
        <v>59.4</v>
      </c>
      <c r="N59" t="str">
        <f t="shared" si="1"/>
        <v>Excelsa</v>
      </c>
      <c r="O59" t="str">
        <f t="shared" si="2"/>
        <v>Light</v>
      </c>
      <c r="P59" t="str">
        <f>_xlfn.XLOOKUP(Orders[[#This Row],[Customer ID]],customers!$A$1:$A$1001,customers!$I$1:$I$1001,"",0,1)</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IF(_xlfn.XLOOKUP(C60,customers!$A$1:$A$1001,customers!$C$1:$C$1001,,0,1)=0,"",(_xlfn.XLOOKUP(C60,customers!$A$1:$A$1001,customers!$C$1:$C$1001,,0,1)))</f>
        <v/>
      </c>
      <c r="H60" s="2" t="str">
        <f>_xlfn.XLOOKUP(C60,customers!$A$1:$A$1001,customers!$G$1:$G$1001,,0,1)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6">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ID]],customers!$A$1:$A$1001,customers!$I$1:$I$1001,"",0,1)</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IF(_xlfn.XLOOKUP(C61,customers!$A$1:$A$1001,customers!$C$1:$C$1001,,0,1)=0,"",(_xlfn.XLOOKUP(C61,customers!$A$1:$A$1001,customers!$C$1:$C$1001,,0,1)))</f>
        <v>sgilroy1n@eepurl.com</v>
      </c>
      <c r="H61" s="2" t="str">
        <f>_xlfn.XLOOKUP(C61,customers!$A$1:$A$1001,customers!$G$1:$G$1001,,0,1)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6">
        <f>INDEX(products!$A$1:$G$49,MATCH(orders!$D61,products!$A$1:$A$49,0),MATCH(orders!L$1,products!$A$1:$G$1,0))</f>
        <v>8.73</v>
      </c>
      <c r="M61" s="5">
        <f t="shared" si="0"/>
        <v>26.19</v>
      </c>
      <c r="N61" t="str">
        <f t="shared" si="1"/>
        <v>Liberica</v>
      </c>
      <c r="O61" t="str">
        <f t="shared" si="2"/>
        <v>Medium</v>
      </c>
      <c r="P61" t="str">
        <f>_xlfn.XLOOKUP(Orders[[#This Row],[Customer ID]],customers!$A$1:$A$1001,customers!$I$1:$I$1001,"",0,1)</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IF(_xlfn.XLOOKUP(C62,customers!$A$1:$A$1001,customers!$C$1:$C$1001,,0,1)=0,"",(_xlfn.XLOOKUP(C62,customers!$A$1:$A$1001,customers!$C$1:$C$1001,,0,1)))</f>
        <v>ccottingham1o@wikipedia.org</v>
      </c>
      <c r="H62" s="2" t="str">
        <f>_xlfn.XLOOKUP(C62,customers!$A$1:$A$1001,customers!$G$1:$G$1001,,0,1)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6">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ID]],customers!$A$1:$A$1001,customers!$I$1:$I$1001,"",0,1)</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IF(_xlfn.XLOOKUP(C63,customers!$A$1:$A$1001,customers!$C$1:$C$1001,,0,1)=0,"",(_xlfn.XLOOKUP(C63,customers!$A$1:$A$1001,customers!$C$1:$C$1001,,0,1)))</f>
        <v/>
      </c>
      <c r="H63" s="2" t="str">
        <f>_xlfn.XLOOKUP(C63,customers!$A$1:$A$1001,customers!$G$1:$G$1001,,0,1)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6">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ID]],customers!$A$1:$A$1001,customers!$I$1:$I$1001,"",0,1)</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IF(_xlfn.XLOOKUP(C64,customers!$A$1:$A$1001,customers!$C$1:$C$1001,,0,1)=0,"",(_xlfn.XLOOKUP(C64,customers!$A$1:$A$1001,customers!$C$1:$C$1001,,0,1)))</f>
        <v/>
      </c>
      <c r="H64" s="2" t="str">
        <f>_xlfn.XLOOKUP(C64,customers!$A$1:$A$1001,customers!$G$1:$G$1001,,0,1)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6">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ID]],customers!$A$1:$A$1001,customers!$I$1:$I$1001,"",0,1)</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IF(_xlfn.XLOOKUP(C65,customers!$A$1:$A$1001,customers!$C$1:$C$1001,,0,1)=0,"",(_xlfn.XLOOKUP(C65,customers!$A$1:$A$1001,customers!$C$1:$C$1001,,0,1)))</f>
        <v>adykes1r@eventbrite.com</v>
      </c>
      <c r="H65" s="2" t="str">
        <f>_xlfn.XLOOKUP(C65,customers!$A$1:$A$1001,customers!$G$1:$G$1001,,0,1)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6">
        <f>INDEX(products!$A$1:$G$49,MATCH(orders!$D65,products!$A$1:$A$49,0),MATCH(orders!L$1,products!$A$1:$G$1,0))</f>
        <v>6.75</v>
      </c>
      <c r="M65" s="5">
        <f t="shared" si="0"/>
        <v>6.75</v>
      </c>
      <c r="N65" t="str">
        <f t="shared" si="1"/>
        <v>Arabica</v>
      </c>
      <c r="O65" t="str">
        <f t="shared" si="2"/>
        <v>Medium</v>
      </c>
      <c r="P65" t="str">
        <f>_xlfn.XLOOKUP(Orders[[#This Row],[Customer ID]],customers!$A$1:$A$1001,customers!$I$1:$I$1001,"",0,1)</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IF(_xlfn.XLOOKUP(C66,customers!$A$1:$A$1001,customers!$C$1:$C$1001,,0,1)=0,"",(_xlfn.XLOOKUP(C66,customers!$A$1:$A$1001,customers!$C$1:$C$1001,,0,1)))</f>
        <v/>
      </c>
      <c r="H66" s="2" t="str">
        <f>_xlfn.XLOOKUP(C66,customers!$A$1:$A$1001,customers!$G$1:$G$1001,,0,1)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6">
        <f>INDEX(products!$A$1:$G$49,MATCH(orders!$D66,products!$A$1:$A$49,0),MATCH(orders!L$1,products!$A$1:$G$1,0))</f>
        <v>5.97</v>
      </c>
      <c r="M66" s="5">
        <f t="shared" si="0"/>
        <v>35.82</v>
      </c>
      <c r="N66" t="str">
        <f t="shared" si="1"/>
        <v>Robusta</v>
      </c>
      <c r="O66" t="str">
        <f t="shared" si="2"/>
        <v>Medium</v>
      </c>
      <c r="P66" t="str">
        <f>_xlfn.XLOOKUP(Orders[[#This Row],[Customer ID]],customers!$A$1:$A$1001,customers!$I$1:$I$1001,"",0,1)</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IF(_xlfn.XLOOKUP(C67,customers!$A$1:$A$1001,customers!$C$1:$C$1001,,0,1)=0,"",(_xlfn.XLOOKUP(C67,customers!$A$1:$A$1001,customers!$C$1:$C$1001,,0,1)))</f>
        <v>acockrem1t@engadget.com</v>
      </c>
      <c r="H67" s="2" t="str">
        <f>_xlfn.XLOOKUP(C67,customers!$A$1:$A$1001,customers!$G$1:$G$1001,,0,1)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6">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ID]],customers!$A$1:$A$1001,customers!$I$1:$I$1001,"",0,1)</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IF(_xlfn.XLOOKUP(C68,customers!$A$1:$A$1001,customers!$C$1:$C$1001,,0,1)=0,"",(_xlfn.XLOOKUP(C68,customers!$A$1:$A$1001,customers!$C$1:$C$1001,,0,1)))</f>
        <v>bumpleby1u@soundcloud.com</v>
      </c>
      <c r="H68" s="2" t="str">
        <f>_xlfn.XLOOKUP(C68,customers!$A$1:$A$1001,customers!$G$1:$G$1001,,0,1)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6">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ID]],customers!$A$1:$A$1001,customers!$I$1:$I$1001,"",0,1)</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IF(_xlfn.XLOOKUP(C69,customers!$A$1:$A$1001,customers!$C$1:$C$1001,,0,1)=0,"",(_xlfn.XLOOKUP(C69,customers!$A$1:$A$1001,customers!$C$1:$C$1001,,0,1)))</f>
        <v>nsaleway1v@dedecms.com</v>
      </c>
      <c r="H69" s="2" t="str">
        <f>_xlfn.XLOOKUP(C69,customers!$A$1:$A$1001,customers!$G$1:$G$1001,,0,1)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6">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ID]],customers!$A$1:$A$1001,customers!$I$1:$I$1001,"",0,1)</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IF(_xlfn.XLOOKUP(C70,customers!$A$1:$A$1001,customers!$C$1:$C$1001,,0,1)=0,"",(_xlfn.XLOOKUP(C70,customers!$A$1:$A$1001,customers!$C$1:$C$1001,,0,1)))</f>
        <v>hgoulter1w@abc.net.au</v>
      </c>
      <c r="H70" s="2" t="str">
        <f>_xlfn.XLOOKUP(C70,customers!$A$1:$A$1001,customers!$G$1:$G$1001,,0,1)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6">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ID]],customers!$A$1:$A$1001,customers!$I$1:$I$1001,"",0,1)</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IF(_xlfn.XLOOKUP(C71,customers!$A$1:$A$1001,customers!$C$1:$C$1001,,0,1)=0,"",(_xlfn.XLOOKUP(C71,customers!$A$1:$A$1001,customers!$C$1:$C$1001,,0,1)))</f>
        <v>grizzello1x@symantec.com</v>
      </c>
      <c r="H71" s="2" t="str">
        <f>_xlfn.XLOOKUP(C71,customers!$A$1:$A$1001,customers!$G$1:$G$1001,,0,1)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6">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ID]],customers!$A$1:$A$1001,customers!$I$1:$I$1001,"",0,1)</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IF(_xlfn.XLOOKUP(C72,customers!$A$1:$A$1001,customers!$C$1:$C$1001,,0,1)=0,"",(_xlfn.XLOOKUP(C72,customers!$A$1:$A$1001,customers!$C$1:$C$1001,,0,1)))</f>
        <v>slist1y@mapquest.com</v>
      </c>
      <c r="H72" s="2" t="str">
        <f>_xlfn.XLOOKUP(C72,customers!$A$1:$A$1001,customers!$G$1:$G$1001,,0,1)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6">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ID]],customers!$A$1:$A$1001,customers!$I$1:$I$1001,"",0,1)</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IF(_xlfn.XLOOKUP(C73,customers!$A$1:$A$1001,customers!$C$1:$C$1001,,0,1)=0,"",(_xlfn.XLOOKUP(C73,customers!$A$1:$A$1001,customers!$C$1:$C$1001,,0,1)))</f>
        <v>sedmondson1z@theguardian.com</v>
      </c>
      <c r="H73" s="2" t="str">
        <f>_xlfn.XLOOKUP(C73,customers!$A$1:$A$1001,customers!$G$1:$G$1001,,0,1)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6">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ID]],customers!$A$1:$A$1001,customers!$I$1:$I$1001,"",0,1)</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IF(_xlfn.XLOOKUP(C74,customers!$A$1:$A$1001,customers!$C$1:$C$1001,,0,1)=0,"",(_xlfn.XLOOKUP(C74,customers!$A$1:$A$1001,customers!$C$1:$C$1001,,0,1)))</f>
        <v/>
      </c>
      <c r="H74" s="2" t="str">
        <f>_xlfn.XLOOKUP(C74,customers!$A$1:$A$1001,customers!$G$1:$G$1001,,0,1)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6">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ID]],customers!$A$1:$A$1001,customers!$I$1:$I$1001,"",0,1)</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IF(_xlfn.XLOOKUP(C75,customers!$A$1:$A$1001,customers!$C$1:$C$1001,,0,1)=0,"",(_xlfn.XLOOKUP(C75,customers!$A$1:$A$1001,customers!$C$1:$C$1001,,0,1)))</f>
        <v/>
      </c>
      <c r="H75" s="2" t="str">
        <f>_xlfn.XLOOKUP(C75,customers!$A$1:$A$1001,customers!$G$1:$G$1001,,0,1)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6">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ID]],customers!$A$1:$A$1001,customers!$I$1:$I$1001,"",0,1)</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IF(_xlfn.XLOOKUP(C76,customers!$A$1:$A$1001,customers!$C$1:$C$1001,,0,1)=0,"",(_xlfn.XLOOKUP(C76,customers!$A$1:$A$1001,customers!$C$1:$C$1001,,0,1)))</f>
        <v>jrangall22@newsvine.com</v>
      </c>
      <c r="H76" s="2" t="str">
        <f>_xlfn.XLOOKUP(C76,customers!$A$1:$A$1001,customers!$G$1:$G$1001,,0,1)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6">
        <f>INDEX(products!$A$1:$G$49,MATCH(orders!$D76,products!$A$1:$A$49,0),MATCH(orders!L$1,products!$A$1:$G$1,0))</f>
        <v>8.91</v>
      </c>
      <c r="M76" s="5">
        <f t="shared" si="3"/>
        <v>17.82</v>
      </c>
      <c r="N76" t="str">
        <f t="shared" si="4"/>
        <v>Excelsa</v>
      </c>
      <c r="O76" t="str">
        <f t="shared" si="5"/>
        <v>Light</v>
      </c>
      <c r="P76" t="str">
        <f>_xlfn.XLOOKUP(Orders[[#This Row],[Customer ID]],customers!$A$1:$A$1001,customers!$I$1:$I$1001,"",0,1)</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IF(_xlfn.XLOOKUP(C77,customers!$A$1:$A$1001,customers!$C$1:$C$1001,,0,1)=0,"",(_xlfn.XLOOKUP(C77,customers!$A$1:$A$1001,customers!$C$1:$C$1001,,0,1)))</f>
        <v>kboorn23@ezinearticles.com</v>
      </c>
      <c r="H77" s="2" t="str">
        <f>_xlfn.XLOOKUP(C77,customers!$A$1:$A$1001,customers!$G$1:$G$1001,,0,1)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6">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ID]],customers!$A$1:$A$1001,customers!$I$1:$I$1001,"",0,1)</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IF(_xlfn.XLOOKUP(C78,customers!$A$1:$A$1001,customers!$C$1:$C$1001,,0,1)=0,"",(_xlfn.XLOOKUP(C78,customers!$A$1:$A$1001,customers!$C$1:$C$1001,,0,1)))</f>
        <v/>
      </c>
      <c r="H78" s="2" t="str">
        <f>_xlfn.XLOOKUP(C78,customers!$A$1:$A$1001,customers!$G$1:$G$1001,,0,1)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6">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ID]],customers!$A$1:$A$1001,customers!$I$1:$I$1001,"",0,1)</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IF(_xlfn.XLOOKUP(C79,customers!$A$1:$A$1001,customers!$C$1:$C$1001,,0,1)=0,"",(_xlfn.XLOOKUP(C79,customers!$A$1:$A$1001,customers!$C$1:$C$1001,,0,1)))</f>
        <v>celgey25@webs.com</v>
      </c>
      <c r="H79" s="2" t="str">
        <f>_xlfn.XLOOKUP(C79,customers!$A$1:$A$1001,customers!$G$1:$G$1001,,0,1)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6">
        <f>INDEX(products!$A$1:$G$49,MATCH(orders!$D79,products!$A$1:$A$49,0),MATCH(orders!L$1,products!$A$1:$G$1,0))</f>
        <v>3.645</v>
      </c>
      <c r="M79" s="5">
        <f t="shared" si="3"/>
        <v>7.29</v>
      </c>
      <c r="N79" t="str">
        <f t="shared" si="4"/>
        <v>Excelsa</v>
      </c>
      <c r="O79" t="str">
        <f t="shared" si="5"/>
        <v>Dark</v>
      </c>
      <c r="P79" t="str">
        <f>_xlfn.XLOOKUP(Orders[[#This Row],[Customer ID]],customers!$A$1:$A$1001,customers!$I$1:$I$1001,"",0,1)</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IF(_xlfn.XLOOKUP(C80,customers!$A$1:$A$1001,customers!$C$1:$C$1001,,0,1)=0,"",(_xlfn.XLOOKUP(C80,customers!$A$1:$A$1001,customers!$C$1:$C$1001,,0,1)))</f>
        <v>lmizzi26@rakuten.co.jp</v>
      </c>
      <c r="H80" s="2" t="str">
        <f>_xlfn.XLOOKUP(C80,customers!$A$1:$A$1001,customers!$G$1:$G$1001,,0,1)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6">
        <f>INDEX(products!$A$1:$G$49,MATCH(orders!$D80,products!$A$1:$A$49,0),MATCH(orders!L$1,products!$A$1:$G$1,0))</f>
        <v>6.75</v>
      </c>
      <c r="M80" s="5">
        <f t="shared" si="3"/>
        <v>40.5</v>
      </c>
      <c r="N80" t="str">
        <f t="shared" si="4"/>
        <v>Arabica</v>
      </c>
      <c r="O80" t="str">
        <f t="shared" si="5"/>
        <v>Medium</v>
      </c>
      <c r="P80" t="str">
        <f>_xlfn.XLOOKUP(Orders[[#This Row],[Customer ID]],customers!$A$1:$A$1001,customers!$I$1:$I$1001,"",0,1)</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IF(_xlfn.XLOOKUP(C81,customers!$A$1:$A$1001,customers!$C$1:$C$1001,,0,1)=0,"",(_xlfn.XLOOKUP(C81,customers!$A$1:$A$1001,customers!$C$1:$C$1001,,0,1)))</f>
        <v>cgiacomazzo27@jigsy.com</v>
      </c>
      <c r="H81" s="2" t="str">
        <f>_xlfn.XLOOKUP(C81,customers!$A$1:$A$1001,customers!$G$1:$G$1001,,0,1)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6">
        <f>INDEX(products!$A$1:$G$49,MATCH(orders!$D81,products!$A$1:$A$49,0),MATCH(orders!L$1,products!$A$1:$G$1,0))</f>
        <v>11.95</v>
      </c>
      <c r="M81" s="5">
        <f t="shared" si="3"/>
        <v>47.8</v>
      </c>
      <c r="N81" t="str">
        <f t="shared" si="4"/>
        <v>Robusta</v>
      </c>
      <c r="O81" t="str">
        <f t="shared" si="5"/>
        <v>Light</v>
      </c>
      <c r="P81" t="str">
        <f>_xlfn.XLOOKUP(Orders[[#This Row],[Customer ID]],customers!$A$1:$A$1001,customers!$I$1:$I$1001,"",0,1)</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IF(_xlfn.XLOOKUP(C82,customers!$A$1:$A$1001,customers!$C$1:$C$1001,,0,1)=0,"",(_xlfn.XLOOKUP(C82,customers!$A$1:$A$1001,customers!$C$1:$C$1001,,0,1)))</f>
        <v>aarnow28@arizona.edu</v>
      </c>
      <c r="H82" s="2" t="str">
        <f>_xlfn.XLOOKUP(C82,customers!$A$1:$A$1001,customers!$G$1:$G$1001,,0,1)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6">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ID]],customers!$A$1:$A$1001,customers!$I$1:$I$1001,"",0,1)</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IF(_xlfn.XLOOKUP(C83,customers!$A$1:$A$1001,customers!$C$1:$C$1001,,0,1)=0,"",(_xlfn.XLOOKUP(C83,customers!$A$1:$A$1001,customers!$C$1:$C$1001,,0,1)))</f>
        <v>syann29@senate.gov</v>
      </c>
      <c r="H83" s="2" t="str">
        <f>_xlfn.XLOOKUP(C83,customers!$A$1:$A$1001,customers!$G$1:$G$1001,,0,1)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6">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ID]],customers!$A$1:$A$1001,customers!$I$1:$I$1001,"",0,1)</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IF(_xlfn.XLOOKUP(C84,customers!$A$1:$A$1001,customers!$C$1:$C$1001,,0,1)=0,"",(_xlfn.XLOOKUP(C84,customers!$A$1:$A$1001,customers!$C$1:$C$1001,,0,1)))</f>
        <v>bnaulls2a@tiny.cc</v>
      </c>
      <c r="H84" s="2" t="str">
        <f>_xlfn.XLOOKUP(C84,customers!$A$1:$A$1001,customers!$G$1:$G$1001,,0,1)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6">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ID]],customers!$A$1:$A$1001,customers!$I$1:$I$1001,"",0,1)</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IF(_xlfn.XLOOKUP(C85,customers!$A$1:$A$1001,customers!$C$1:$C$1001,,0,1)=0,"",(_xlfn.XLOOKUP(C85,customers!$A$1:$A$1001,customers!$C$1:$C$1001,,0,1)))</f>
        <v/>
      </c>
      <c r="H85" s="2" t="str">
        <f>_xlfn.XLOOKUP(C85,customers!$A$1:$A$1001,customers!$G$1:$G$1001,,0,1)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6">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ID]],customers!$A$1:$A$1001,customers!$I$1:$I$1001,"",0,1)</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IF(_xlfn.XLOOKUP(C86,customers!$A$1:$A$1001,customers!$C$1:$C$1001,,0,1)=0,"",(_xlfn.XLOOKUP(C86,customers!$A$1:$A$1001,customers!$C$1:$C$1001,,0,1)))</f>
        <v>zsherewood2c@apache.org</v>
      </c>
      <c r="H86" s="2" t="str">
        <f>_xlfn.XLOOKUP(C86,customers!$A$1:$A$1001,customers!$G$1:$G$1001,,0,1)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6">
        <f>INDEX(products!$A$1:$G$49,MATCH(orders!$D86,products!$A$1:$A$49,0),MATCH(orders!L$1,products!$A$1:$G$1,0))</f>
        <v>9.51</v>
      </c>
      <c r="M86" s="5">
        <f t="shared" si="3"/>
        <v>9.51</v>
      </c>
      <c r="N86" t="str">
        <f t="shared" si="4"/>
        <v>Liberica</v>
      </c>
      <c r="O86" t="str">
        <f t="shared" si="5"/>
        <v>Light</v>
      </c>
      <c r="P86" t="str">
        <f>_xlfn.XLOOKUP(Orders[[#This Row],[Customer ID]],customers!$A$1:$A$1001,customers!$I$1:$I$1001,"",0,1)</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IF(_xlfn.XLOOKUP(C87,customers!$A$1:$A$1001,customers!$C$1:$C$1001,,0,1)=0,"",(_xlfn.XLOOKUP(C87,customers!$A$1:$A$1001,customers!$C$1:$C$1001,,0,1)))</f>
        <v>jdufaire2d@fc2.com</v>
      </c>
      <c r="H87" s="2" t="str">
        <f>_xlfn.XLOOKUP(C87,customers!$A$1:$A$1001,customers!$G$1:$G$1001,,0,1)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6">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ID]],customers!$A$1:$A$1001,customers!$I$1:$I$1001,"",0,1)</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IF(_xlfn.XLOOKUP(C88,customers!$A$1:$A$1001,customers!$C$1:$C$1001,,0,1)=0,"",(_xlfn.XLOOKUP(C88,customers!$A$1:$A$1001,customers!$C$1:$C$1001,,0,1)))</f>
        <v>jdufaire2d@fc2.com</v>
      </c>
      <c r="H88" s="2" t="str">
        <f>_xlfn.XLOOKUP(C88,customers!$A$1:$A$1001,customers!$G$1:$G$1001,,0,1)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6">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ID]],customers!$A$1:$A$1001,customers!$I$1:$I$1001,"",0,1)</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IF(_xlfn.XLOOKUP(C89,customers!$A$1:$A$1001,customers!$C$1:$C$1001,,0,1)=0,"",(_xlfn.XLOOKUP(C89,customers!$A$1:$A$1001,customers!$C$1:$C$1001,,0,1)))</f>
        <v>bkeaveney2f@netlog.com</v>
      </c>
      <c r="H89" s="2" t="str">
        <f>_xlfn.XLOOKUP(C89,customers!$A$1:$A$1001,customers!$G$1:$G$1001,,0,1)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6">
        <f>INDEX(products!$A$1:$G$49,MATCH(orders!$D89,products!$A$1:$A$49,0),MATCH(orders!L$1,products!$A$1:$G$1,0))</f>
        <v>11.25</v>
      </c>
      <c r="M89" s="5">
        <f t="shared" si="3"/>
        <v>33.75</v>
      </c>
      <c r="N89" t="str">
        <f t="shared" si="4"/>
        <v>Arabica</v>
      </c>
      <c r="O89" t="str">
        <f t="shared" si="5"/>
        <v>Medium</v>
      </c>
      <c r="P89" t="str">
        <f>_xlfn.XLOOKUP(Orders[[#This Row],[Customer ID]],customers!$A$1:$A$1001,customers!$I$1:$I$1001,"",0,1)</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IF(_xlfn.XLOOKUP(C90,customers!$A$1:$A$1001,customers!$C$1:$C$1001,,0,1)=0,"",(_xlfn.XLOOKUP(C90,customers!$A$1:$A$1001,customers!$C$1:$C$1001,,0,1)))</f>
        <v>egrise2g@cargocollective.com</v>
      </c>
      <c r="H90" s="2" t="str">
        <f>_xlfn.XLOOKUP(C90,customers!$A$1:$A$1001,customers!$G$1:$G$1001,,0,1)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6">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ID]],customers!$A$1:$A$1001,customers!$I$1:$I$1001,"",0,1)</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IF(_xlfn.XLOOKUP(C91,customers!$A$1:$A$1001,customers!$C$1:$C$1001,,0,1)=0,"",(_xlfn.XLOOKUP(C91,customers!$A$1:$A$1001,customers!$C$1:$C$1001,,0,1)))</f>
        <v>tgottelier2h@vistaprint.com</v>
      </c>
      <c r="H91" s="2" t="str">
        <f>_xlfn.XLOOKUP(C91,customers!$A$1:$A$1001,customers!$G$1:$G$1001,,0,1)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6">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ID]],customers!$A$1:$A$1001,customers!$I$1:$I$1001,"",0,1)</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IF(_xlfn.XLOOKUP(C92,customers!$A$1:$A$1001,customers!$C$1:$C$1001,,0,1)=0,"",(_xlfn.XLOOKUP(C92,customers!$A$1:$A$1001,customers!$C$1:$C$1001,,0,1)))</f>
        <v/>
      </c>
      <c r="H92" s="2" t="str">
        <f>_xlfn.XLOOKUP(C92,customers!$A$1:$A$1001,customers!$G$1:$G$1001,,0,1)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6">
        <f>INDEX(products!$A$1:$G$49,MATCH(orders!$D92,products!$A$1:$A$49,0),MATCH(orders!L$1,products!$A$1:$G$1,0))</f>
        <v>12.95</v>
      </c>
      <c r="M92" s="5">
        <f t="shared" si="3"/>
        <v>51.8</v>
      </c>
      <c r="N92" t="str">
        <f t="shared" si="4"/>
        <v>Arabica</v>
      </c>
      <c r="O92" t="str">
        <f t="shared" si="5"/>
        <v>Light</v>
      </c>
      <c r="P92" t="str">
        <f>_xlfn.XLOOKUP(Orders[[#This Row],[Customer ID]],customers!$A$1:$A$1001,customers!$I$1:$I$1001,"",0,1)</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IF(_xlfn.XLOOKUP(C93,customers!$A$1:$A$1001,customers!$C$1:$C$1001,,0,1)=0,"",(_xlfn.XLOOKUP(C93,customers!$A$1:$A$1001,customers!$C$1:$C$1001,,0,1)))</f>
        <v>agreenhead2j@dailymail.co.uk</v>
      </c>
      <c r="H93" s="2" t="str">
        <f>_xlfn.XLOOKUP(C93,customers!$A$1:$A$1001,customers!$G$1:$G$1001,,0,1)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6">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ID]],customers!$A$1:$A$1001,customers!$I$1:$I$1001,"",0,1)</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IF(_xlfn.XLOOKUP(C94,customers!$A$1:$A$1001,customers!$C$1:$C$1001,,0,1)=0,"",(_xlfn.XLOOKUP(C94,customers!$A$1:$A$1001,customers!$C$1:$C$1001,,0,1)))</f>
        <v/>
      </c>
      <c r="H94" s="2" t="str">
        <f>_xlfn.XLOOKUP(C94,customers!$A$1:$A$1001,customers!$G$1:$G$1001,,0,1)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6">
        <f>INDEX(products!$A$1:$G$49,MATCH(orders!$D94,products!$A$1:$A$49,0),MATCH(orders!L$1,products!$A$1:$G$1,0))</f>
        <v>14.85</v>
      </c>
      <c r="M94" s="5">
        <f t="shared" si="3"/>
        <v>44.55</v>
      </c>
      <c r="N94" t="str">
        <f t="shared" si="4"/>
        <v>Excelsa</v>
      </c>
      <c r="O94" t="str">
        <f t="shared" si="5"/>
        <v>Light</v>
      </c>
      <c r="P94" t="str">
        <f>_xlfn.XLOOKUP(Orders[[#This Row],[Customer ID]],customers!$A$1:$A$1001,customers!$I$1:$I$1001,"",0,1)</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IF(_xlfn.XLOOKUP(C95,customers!$A$1:$A$1001,customers!$C$1:$C$1001,,0,1)=0,"",(_xlfn.XLOOKUP(C95,customers!$A$1:$A$1001,customers!$C$1:$C$1001,,0,1)))</f>
        <v>elangcaster2l@spotify.com</v>
      </c>
      <c r="H95" s="2" t="str">
        <f>_xlfn.XLOOKUP(C95,customers!$A$1:$A$1001,customers!$G$1:$G$1001,,0,1)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6">
        <f>INDEX(products!$A$1:$G$49,MATCH(orders!$D95,products!$A$1:$A$49,0),MATCH(orders!L$1,products!$A$1:$G$1,0))</f>
        <v>8.91</v>
      </c>
      <c r="M95" s="5">
        <f t="shared" si="3"/>
        <v>35.64</v>
      </c>
      <c r="N95" t="str">
        <f t="shared" si="4"/>
        <v>Excelsa</v>
      </c>
      <c r="O95" t="str">
        <f t="shared" si="5"/>
        <v>Light</v>
      </c>
      <c r="P95" t="str">
        <f>_xlfn.XLOOKUP(Orders[[#This Row],[Customer ID]],customers!$A$1:$A$1001,customers!$I$1:$I$1001,"",0,1)</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IF(_xlfn.XLOOKUP(C96,customers!$A$1:$A$1001,customers!$C$1:$C$1001,,0,1)=0,"",(_xlfn.XLOOKUP(C96,customers!$A$1:$A$1001,customers!$C$1:$C$1001,,0,1)))</f>
        <v/>
      </c>
      <c r="H96" s="2" t="str">
        <f>_xlfn.XLOOKUP(C96,customers!$A$1:$A$1001,customers!$G$1:$G$1001,,0,1)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6">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ID]],customers!$A$1:$A$1001,customers!$I$1:$I$1001,"",0,1)</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IF(_xlfn.XLOOKUP(C97,customers!$A$1:$A$1001,customers!$C$1:$C$1001,,0,1)=0,"",(_xlfn.XLOOKUP(C97,customers!$A$1:$A$1001,customers!$C$1:$C$1001,,0,1)))</f>
        <v>nmagauran2n@51.la</v>
      </c>
      <c r="H97" s="2" t="str">
        <f>_xlfn.XLOOKUP(C97,customers!$A$1:$A$1001,customers!$G$1:$G$1001,,0,1)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6">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ID]],customers!$A$1:$A$1001,customers!$I$1:$I$1001,"",0,1)</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IF(_xlfn.XLOOKUP(C98,customers!$A$1:$A$1001,customers!$C$1:$C$1001,,0,1)=0,"",(_xlfn.XLOOKUP(C98,customers!$A$1:$A$1001,customers!$C$1:$C$1001,,0,1)))</f>
        <v>vkirdsch2o@google.fr</v>
      </c>
      <c r="H98" s="2" t="str">
        <f>_xlfn.XLOOKUP(C98,customers!$A$1:$A$1001,customers!$G$1:$G$1001,,0,1)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6">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ID]],customers!$A$1:$A$1001,customers!$I$1:$I$1001,"",0,1)</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IF(_xlfn.XLOOKUP(C99,customers!$A$1:$A$1001,customers!$C$1:$C$1001,,0,1)=0,"",(_xlfn.XLOOKUP(C99,customers!$A$1:$A$1001,customers!$C$1:$C$1001,,0,1)))</f>
        <v>iwhapple2p@com.com</v>
      </c>
      <c r="H99" s="2" t="str">
        <f>_xlfn.XLOOKUP(C99,customers!$A$1:$A$1001,customers!$G$1:$G$1001,,0,1)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6">
        <f>INDEX(products!$A$1:$G$49,MATCH(orders!$D99,products!$A$1:$A$49,0),MATCH(orders!L$1,products!$A$1:$G$1,0))</f>
        <v>6.75</v>
      </c>
      <c r="M99" s="5">
        <f t="shared" si="3"/>
        <v>13.5</v>
      </c>
      <c r="N99" t="str">
        <f t="shared" si="4"/>
        <v>Arabica</v>
      </c>
      <c r="O99" t="str">
        <f t="shared" si="5"/>
        <v>Medium</v>
      </c>
      <c r="P99" t="str">
        <f>_xlfn.XLOOKUP(Orders[[#This Row],[Customer ID]],customers!$A$1:$A$1001,customers!$I$1:$I$1001,"",0,1)</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IF(_xlfn.XLOOKUP(C100,customers!$A$1:$A$1001,customers!$C$1:$C$1001,,0,1)=0,"",(_xlfn.XLOOKUP(C100,customers!$A$1:$A$1001,customers!$C$1:$C$1001,,0,1)))</f>
        <v/>
      </c>
      <c r="H100" s="2" t="str">
        <f>_xlfn.XLOOKUP(C100,customers!$A$1:$A$1001,customers!$G$1:$G$1001,,0,1)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6">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ID]],customers!$A$1:$A$1001,customers!$I$1:$I$1001,"",0,1)</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IF(_xlfn.XLOOKUP(C101,customers!$A$1:$A$1001,customers!$C$1:$C$1001,,0,1)=0,"",(_xlfn.XLOOKUP(C101,customers!$A$1:$A$1001,customers!$C$1:$C$1001,,0,1)))</f>
        <v/>
      </c>
      <c r="H101" s="2" t="str">
        <f>_xlfn.XLOOKUP(C101,customers!$A$1:$A$1001,customers!$G$1:$G$1001,,0,1)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6">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ID]],customers!$A$1:$A$1001,customers!$I$1:$I$1001,"",0,1)</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IF(_xlfn.XLOOKUP(C102,customers!$A$1:$A$1001,customers!$C$1:$C$1001,,0,1)=0,"",(_xlfn.XLOOKUP(C102,customers!$A$1:$A$1001,customers!$C$1:$C$1001,,0,1)))</f>
        <v/>
      </c>
      <c r="H102" s="2" t="str">
        <f>_xlfn.XLOOKUP(C102,customers!$A$1:$A$1001,customers!$G$1:$G$1001,,0,1)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6">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ID]],customers!$A$1:$A$1001,customers!$I$1:$I$1001,"",0,1)</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IF(_xlfn.XLOOKUP(C103,customers!$A$1:$A$1001,customers!$C$1:$C$1001,,0,1)=0,"",(_xlfn.XLOOKUP(C103,customers!$A$1:$A$1001,customers!$C$1:$C$1001,,0,1)))</f>
        <v>nyoules2t@reference.com</v>
      </c>
      <c r="H103" s="2" t="str">
        <f>_xlfn.XLOOKUP(C103,customers!$A$1:$A$1001,customers!$G$1:$G$1001,,0,1)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6">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ID]],customers!$A$1:$A$1001,customers!$I$1:$I$1001,"",0,1)</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IF(_xlfn.XLOOKUP(C104,customers!$A$1:$A$1001,customers!$C$1:$C$1001,,0,1)=0,"",(_xlfn.XLOOKUP(C104,customers!$A$1:$A$1001,customers!$C$1:$C$1001,,0,1)))</f>
        <v>daizikovitz2u@answers.com</v>
      </c>
      <c r="H104" s="2" t="str">
        <f>_xlfn.XLOOKUP(C104,customers!$A$1:$A$1001,customers!$G$1:$G$1001,,0,1)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6">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ID]],customers!$A$1:$A$1001,customers!$I$1:$I$1001,"",0,1)</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IF(_xlfn.XLOOKUP(C105,customers!$A$1:$A$1001,customers!$C$1:$C$1001,,0,1)=0,"",(_xlfn.XLOOKUP(C105,customers!$A$1:$A$1001,customers!$C$1:$C$1001,,0,1)))</f>
        <v>brevel2v@fastcompany.com</v>
      </c>
      <c r="H105" s="2" t="str">
        <f>_xlfn.XLOOKUP(C105,customers!$A$1:$A$1001,customers!$G$1:$G$1001,,0,1)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6">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ID]],customers!$A$1:$A$1001,customers!$I$1:$I$1001,"",0,1)</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IF(_xlfn.XLOOKUP(C106,customers!$A$1:$A$1001,customers!$C$1:$C$1001,,0,1)=0,"",(_xlfn.XLOOKUP(C106,customers!$A$1:$A$1001,customers!$C$1:$C$1001,,0,1)))</f>
        <v>epriddis2w@nationalgeographic.com</v>
      </c>
      <c r="H106" s="2" t="str">
        <f>_xlfn.XLOOKUP(C106,customers!$A$1:$A$1001,customers!$G$1:$G$1001,,0,1)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6">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ID]],customers!$A$1:$A$1001,customers!$I$1:$I$1001,"",0,1)</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IF(_xlfn.XLOOKUP(C107,customers!$A$1:$A$1001,customers!$C$1:$C$1001,,0,1)=0,"",(_xlfn.XLOOKUP(C107,customers!$A$1:$A$1001,customers!$C$1:$C$1001,,0,1)))</f>
        <v>qveel2x@jugem.jp</v>
      </c>
      <c r="H107" s="2" t="str">
        <f>_xlfn.XLOOKUP(C107,customers!$A$1:$A$1001,customers!$G$1:$G$1001,,0,1)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6">
        <f>INDEX(products!$A$1:$G$49,MATCH(orders!$D107,products!$A$1:$A$49,0),MATCH(orders!L$1,products!$A$1:$G$1,0))</f>
        <v>6.75</v>
      </c>
      <c r="M107" s="5">
        <f t="shared" si="3"/>
        <v>40.5</v>
      </c>
      <c r="N107" t="str">
        <f t="shared" si="4"/>
        <v>Arabica</v>
      </c>
      <c r="O107" t="str">
        <f t="shared" si="5"/>
        <v>Medium</v>
      </c>
      <c r="P107" t="str">
        <f>_xlfn.XLOOKUP(Orders[[#This Row],[Customer ID]],customers!$A$1:$A$1001,customers!$I$1:$I$1001,"",0,1)</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IF(_xlfn.XLOOKUP(C108,customers!$A$1:$A$1001,customers!$C$1:$C$1001,,0,1)=0,"",(_xlfn.XLOOKUP(C108,customers!$A$1:$A$1001,customers!$C$1:$C$1001,,0,1)))</f>
        <v>lconyers2y@twitter.com</v>
      </c>
      <c r="H108" s="2" t="str">
        <f>_xlfn.XLOOKUP(C108,customers!$A$1:$A$1001,customers!$G$1:$G$1001,,0,1)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6">
        <f>INDEX(products!$A$1:$G$49,MATCH(orders!$D108,products!$A$1:$A$49,0),MATCH(orders!L$1,products!$A$1:$G$1,0))</f>
        <v>12.15</v>
      </c>
      <c r="M108" s="5">
        <f t="shared" si="3"/>
        <v>24.3</v>
      </c>
      <c r="N108" t="str">
        <f t="shared" si="4"/>
        <v>Excelsa</v>
      </c>
      <c r="O108" t="str">
        <f t="shared" si="5"/>
        <v>Dark</v>
      </c>
      <c r="P108" t="str">
        <f>_xlfn.XLOOKUP(Orders[[#This Row],[Customer ID]],customers!$A$1:$A$1001,customers!$I$1:$I$1001,"",0,1)</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IF(_xlfn.XLOOKUP(C109,customers!$A$1:$A$1001,customers!$C$1:$C$1001,,0,1)=0,"",(_xlfn.XLOOKUP(C109,customers!$A$1:$A$1001,customers!$C$1:$C$1001,,0,1)))</f>
        <v>pwye2z@dagondesign.com</v>
      </c>
      <c r="H109" s="2" t="str">
        <f>_xlfn.XLOOKUP(C109,customers!$A$1:$A$1001,customers!$G$1:$G$1001,,0,1)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6">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ID]],customers!$A$1:$A$1001,customers!$I$1:$I$1001,"",0,1)</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IF(_xlfn.XLOOKUP(C110,customers!$A$1:$A$1001,customers!$C$1:$C$1001,,0,1)=0,"",(_xlfn.XLOOKUP(C110,customers!$A$1:$A$1001,customers!$C$1:$C$1001,,0,1)))</f>
        <v/>
      </c>
      <c r="H110" s="2" t="str">
        <f>_xlfn.XLOOKUP(C110,customers!$A$1:$A$1001,customers!$G$1:$G$1001,,0,1)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6">
        <f>INDEX(products!$A$1:$G$49,MATCH(orders!$D110,products!$A$1:$A$49,0),MATCH(orders!L$1,products!$A$1:$G$1,0))</f>
        <v>6.75</v>
      </c>
      <c r="M110" s="5">
        <f t="shared" si="3"/>
        <v>27</v>
      </c>
      <c r="N110" t="str">
        <f t="shared" si="4"/>
        <v>Arabica</v>
      </c>
      <c r="O110" t="str">
        <f t="shared" si="5"/>
        <v>Medium</v>
      </c>
      <c r="P110" t="str">
        <f>_xlfn.XLOOKUP(Orders[[#This Row],[Customer ID]],customers!$A$1:$A$1001,customers!$I$1:$I$1001,"",0,1)</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IF(_xlfn.XLOOKUP(C111,customers!$A$1:$A$1001,customers!$C$1:$C$1001,,0,1)=0,"",(_xlfn.XLOOKUP(C111,customers!$A$1:$A$1001,customers!$C$1:$C$1001,,0,1)))</f>
        <v>tsheryn31@mtv.com</v>
      </c>
      <c r="H111" s="2" t="str">
        <f>_xlfn.XLOOKUP(C111,customers!$A$1:$A$1001,customers!$G$1:$G$1001,,0,1)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6">
        <f>INDEX(products!$A$1:$G$49,MATCH(orders!$D111,products!$A$1:$A$49,0),MATCH(orders!L$1,products!$A$1:$G$1,0))</f>
        <v>7.77</v>
      </c>
      <c r="M111" s="5">
        <f t="shared" si="3"/>
        <v>7.77</v>
      </c>
      <c r="N111" t="str">
        <f t="shared" si="4"/>
        <v>Liberica</v>
      </c>
      <c r="O111" t="str">
        <f t="shared" si="5"/>
        <v>Dark</v>
      </c>
      <c r="P111" t="str">
        <f>_xlfn.XLOOKUP(Orders[[#This Row],[Customer ID]],customers!$A$1:$A$1001,customers!$I$1:$I$1001,"",0,1)</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IF(_xlfn.XLOOKUP(C112,customers!$A$1:$A$1001,customers!$C$1:$C$1001,,0,1)=0,"",(_xlfn.XLOOKUP(C112,customers!$A$1:$A$1001,customers!$C$1:$C$1001,,0,1)))</f>
        <v>mredgrave32@cargocollective.com</v>
      </c>
      <c r="H112" s="2" t="str">
        <f>_xlfn.XLOOKUP(C112,customers!$A$1:$A$1001,customers!$G$1:$G$1001,,0,1)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6">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ID]],customers!$A$1:$A$1001,customers!$I$1:$I$1001,"",0,1)</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IF(_xlfn.XLOOKUP(C113,customers!$A$1:$A$1001,customers!$C$1:$C$1001,,0,1)=0,"",(_xlfn.XLOOKUP(C113,customers!$A$1:$A$1001,customers!$C$1:$C$1001,,0,1)))</f>
        <v>bfominov33@yale.edu</v>
      </c>
      <c r="H113" s="2" t="str">
        <f>_xlfn.XLOOKUP(C113,customers!$A$1:$A$1001,customers!$G$1:$G$1001,,0,1)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6">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ID]],customers!$A$1:$A$1001,customers!$I$1:$I$1001,"",0,1)</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IF(_xlfn.XLOOKUP(C114,customers!$A$1:$A$1001,customers!$C$1:$C$1001,,0,1)=0,"",(_xlfn.XLOOKUP(C114,customers!$A$1:$A$1001,customers!$C$1:$C$1001,,0,1)))</f>
        <v>scritchlow34@un.org</v>
      </c>
      <c r="H114" s="2" t="str">
        <f>_xlfn.XLOOKUP(C114,customers!$A$1:$A$1001,customers!$G$1:$G$1001,,0,1)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6">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ID]],customers!$A$1:$A$1001,customers!$I$1:$I$1001,"",0,1)</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IF(_xlfn.XLOOKUP(C115,customers!$A$1:$A$1001,customers!$C$1:$C$1001,,0,1)=0,"",(_xlfn.XLOOKUP(C115,customers!$A$1:$A$1001,customers!$C$1:$C$1001,,0,1)))</f>
        <v>msteptow35@earthlink.net</v>
      </c>
      <c r="H115" s="2" t="str">
        <f>_xlfn.XLOOKUP(C115,customers!$A$1:$A$1001,customers!$G$1:$G$1001,,0,1)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6">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ID]],customers!$A$1:$A$1001,customers!$I$1:$I$1001,"",0,1)</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IF(_xlfn.XLOOKUP(C116,customers!$A$1:$A$1001,customers!$C$1:$C$1001,,0,1)=0,"",(_xlfn.XLOOKUP(C116,customers!$A$1:$A$1001,customers!$C$1:$C$1001,,0,1)))</f>
        <v/>
      </c>
      <c r="H116" s="2" t="str">
        <f>_xlfn.XLOOKUP(C116,customers!$A$1:$A$1001,customers!$G$1:$G$1001,,0,1)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6">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ID]],customers!$A$1:$A$1001,customers!$I$1:$I$1001,"",0,1)</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IF(_xlfn.XLOOKUP(C117,customers!$A$1:$A$1001,customers!$C$1:$C$1001,,0,1)=0,"",(_xlfn.XLOOKUP(C117,customers!$A$1:$A$1001,customers!$C$1:$C$1001,,0,1)))</f>
        <v>imulliner37@pinterest.com</v>
      </c>
      <c r="H117" s="2" t="str">
        <f>_xlfn.XLOOKUP(C117,customers!$A$1:$A$1001,customers!$G$1:$G$1001,,0,1)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6">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ID]],customers!$A$1:$A$1001,customers!$I$1:$I$1001,"",0,1)</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IF(_xlfn.XLOOKUP(C118,customers!$A$1:$A$1001,customers!$C$1:$C$1001,,0,1)=0,"",(_xlfn.XLOOKUP(C118,customers!$A$1:$A$1001,customers!$C$1:$C$1001,,0,1)))</f>
        <v>gstandley38@dion.ne.jp</v>
      </c>
      <c r="H118" s="2" t="str">
        <f>_xlfn.XLOOKUP(C118,customers!$A$1:$A$1001,customers!$G$1:$G$1001,,0,1)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6">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ID]],customers!$A$1:$A$1001,customers!$I$1:$I$1001,"",0,1)</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IF(_xlfn.XLOOKUP(C119,customers!$A$1:$A$1001,customers!$C$1:$C$1001,,0,1)=0,"",(_xlfn.XLOOKUP(C119,customers!$A$1:$A$1001,customers!$C$1:$C$1001,,0,1)))</f>
        <v>bdrage39@youku.com</v>
      </c>
      <c r="H119" s="2" t="str">
        <f>_xlfn.XLOOKUP(C119,customers!$A$1:$A$1001,customers!$G$1:$G$1001,,0,1)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6">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ID]],customers!$A$1:$A$1001,customers!$I$1:$I$1001,"",0,1)</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IF(_xlfn.XLOOKUP(C120,customers!$A$1:$A$1001,customers!$C$1:$C$1001,,0,1)=0,"",(_xlfn.XLOOKUP(C120,customers!$A$1:$A$1001,customers!$C$1:$C$1001,,0,1)))</f>
        <v>myallop3a@fema.gov</v>
      </c>
      <c r="H120" s="2" t="str">
        <f>_xlfn.XLOOKUP(C120,customers!$A$1:$A$1001,customers!$G$1:$G$1001,,0,1)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6">
        <f>INDEX(products!$A$1:$G$49,MATCH(orders!$D120,products!$A$1:$A$49,0),MATCH(orders!L$1,products!$A$1:$G$1,0))</f>
        <v>7.29</v>
      </c>
      <c r="M120" s="5">
        <f t="shared" si="3"/>
        <v>21.87</v>
      </c>
      <c r="N120" t="str">
        <f t="shared" si="4"/>
        <v>Excelsa</v>
      </c>
      <c r="O120" t="str">
        <f t="shared" si="5"/>
        <v>Dark</v>
      </c>
      <c r="P120" t="str">
        <f>_xlfn.XLOOKUP(Orders[[#This Row],[Customer ID]],customers!$A$1:$A$1001,customers!$I$1:$I$1001,"",0,1)</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IF(_xlfn.XLOOKUP(C121,customers!$A$1:$A$1001,customers!$C$1:$C$1001,,0,1)=0,"",(_xlfn.XLOOKUP(C121,customers!$A$1:$A$1001,customers!$C$1:$C$1001,,0,1)))</f>
        <v>cswitsur3b@chronoengine.com</v>
      </c>
      <c r="H121" s="2" t="str">
        <f>_xlfn.XLOOKUP(C121,customers!$A$1:$A$1001,customers!$G$1:$G$1001,,0,1)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6">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ID]],customers!$A$1:$A$1001,customers!$I$1:$I$1001,"",0,1)</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IF(_xlfn.XLOOKUP(C122,customers!$A$1:$A$1001,customers!$C$1:$C$1001,,0,1)=0,"",(_xlfn.XLOOKUP(C122,customers!$A$1:$A$1001,customers!$C$1:$C$1001,,0,1)))</f>
        <v>cswitsur3b@chronoengine.com</v>
      </c>
      <c r="H122" s="2" t="str">
        <f>_xlfn.XLOOKUP(C122,customers!$A$1:$A$1001,customers!$G$1:$G$1001,,0,1)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6">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ID]],customers!$A$1:$A$1001,customers!$I$1:$I$1001,"",0,1)</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IF(_xlfn.XLOOKUP(C123,customers!$A$1:$A$1001,customers!$C$1:$C$1001,,0,1)=0,"",(_xlfn.XLOOKUP(C123,customers!$A$1:$A$1001,customers!$C$1:$C$1001,,0,1)))</f>
        <v>cswitsur3b@chronoengine.com</v>
      </c>
      <c r="H123" s="2" t="str">
        <f>_xlfn.XLOOKUP(C123,customers!$A$1:$A$1001,customers!$G$1:$G$1001,,0,1)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6">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ID]],customers!$A$1:$A$1001,customers!$I$1:$I$1001,"",0,1)</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IF(_xlfn.XLOOKUP(C124,customers!$A$1:$A$1001,customers!$C$1:$C$1001,,0,1)=0,"",(_xlfn.XLOOKUP(C124,customers!$A$1:$A$1001,customers!$C$1:$C$1001,,0,1)))</f>
        <v>mludwell3e@blogger.com</v>
      </c>
      <c r="H124" s="2" t="str">
        <f>_xlfn.XLOOKUP(C124,customers!$A$1:$A$1001,customers!$G$1:$G$1001,,0,1)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6">
        <f>INDEX(products!$A$1:$G$49,MATCH(orders!$D124,products!$A$1:$A$49,0),MATCH(orders!L$1,products!$A$1:$G$1,0))</f>
        <v>5.97</v>
      </c>
      <c r="M124" s="5">
        <f t="shared" si="3"/>
        <v>23.88</v>
      </c>
      <c r="N124" t="str">
        <f t="shared" si="4"/>
        <v>Arabica</v>
      </c>
      <c r="O124" t="str">
        <f t="shared" si="5"/>
        <v>Dark</v>
      </c>
      <c r="P124" t="str">
        <f>_xlfn.XLOOKUP(Orders[[#This Row],[Customer ID]],customers!$A$1:$A$1001,customers!$I$1:$I$1001,"",0,1)</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IF(_xlfn.XLOOKUP(C125,customers!$A$1:$A$1001,customers!$C$1:$C$1001,,0,1)=0,"",(_xlfn.XLOOKUP(C125,customers!$A$1:$A$1001,customers!$C$1:$C$1001,,0,1)))</f>
        <v>dbeauchamp3f@usda.gov</v>
      </c>
      <c r="H125" s="2" t="str">
        <f>_xlfn.XLOOKUP(C125,customers!$A$1:$A$1001,customers!$G$1:$G$1001,,0,1)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6">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ID]],customers!$A$1:$A$1001,customers!$I$1:$I$1001,"",0,1)</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IF(_xlfn.XLOOKUP(C126,customers!$A$1:$A$1001,customers!$C$1:$C$1001,,0,1)=0,"",(_xlfn.XLOOKUP(C126,customers!$A$1:$A$1001,customers!$C$1:$C$1001,,0,1)))</f>
        <v>srodliff3g@ted.com</v>
      </c>
      <c r="H126" s="2" t="str">
        <f>_xlfn.XLOOKUP(C126,customers!$A$1:$A$1001,customers!$G$1:$G$1001,,0,1)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6">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ID]],customers!$A$1:$A$1001,customers!$I$1:$I$1001,"",0,1)</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IF(_xlfn.XLOOKUP(C127,customers!$A$1:$A$1001,customers!$C$1:$C$1001,,0,1)=0,"",(_xlfn.XLOOKUP(C127,customers!$A$1:$A$1001,customers!$C$1:$C$1001,,0,1)))</f>
        <v>swoodham3h@businesswire.com</v>
      </c>
      <c r="H127" s="2" t="str">
        <f>_xlfn.XLOOKUP(C127,customers!$A$1:$A$1001,customers!$G$1:$G$1001,,0,1)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6">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ID]],customers!$A$1:$A$1001,customers!$I$1:$I$1001,"",0,1)</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IF(_xlfn.XLOOKUP(C128,customers!$A$1:$A$1001,customers!$C$1:$C$1001,,0,1)=0,"",(_xlfn.XLOOKUP(C128,customers!$A$1:$A$1001,customers!$C$1:$C$1001,,0,1)))</f>
        <v>hsynnot3i@about.com</v>
      </c>
      <c r="H128" s="2" t="str">
        <f>_xlfn.XLOOKUP(C128,customers!$A$1:$A$1001,customers!$G$1:$G$1001,,0,1)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6">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ID]],customers!$A$1:$A$1001,customers!$I$1:$I$1001,"",0,1)</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IF(_xlfn.XLOOKUP(C129,customers!$A$1:$A$1001,customers!$C$1:$C$1001,,0,1)=0,"",(_xlfn.XLOOKUP(C129,customers!$A$1:$A$1001,customers!$C$1:$C$1001,,0,1)))</f>
        <v>rlepere3j@shop-pro.jp</v>
      </c>
      <c r="H129" s="2" t="str">
        <f>_xlfn.XLOOKUP(C129,customers!$A$1:$A$1001,customers!$G$1:$G$1001,,0,1)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6">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ID]],customers!$A$1:$A$1001,customers!$I$1:$I$1001,"",0,1)</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IF(_xlfn.XLOOKUP(C130,customers!$A$1:$A$1001,customers!$C$1:$C$1001,,0,1)=0,"",(_xlfn.XLOOKUP(C130,customers!$A$1:$A$1001,customers!$C$1:$C$1001,,0,1)))</f>
        <v>twoofinden3k@businesswire.com</v>
      </c>
      <c r="H130" s="2" t="str">
        <f>_xlfn.XLOOKUP(C130,customers!$A$1:$A$1001,customers!$G$1:$G$1001,,0,1)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6">
        <f>INDEX(products!$A$1:$G$49,MATCH(orders!$D130,products!$A$1:$A$49,0),MATCH(orders!L$1,products!$A$1:$G$1,0))</f>
        <v>6.75</v>
      </c>
      <c r="M130" s="5">
        <f t="shared" si="3"/>
        <v>6.75</v>
      </c>
      <c r="N130" t="str">
        <f t="shared" si="4"/>
        <v>Arabica</v>
      </c>
      <c r="O130" t="str">
        <f t="shared" si="5"/>
        <v>Medium</v>
      </c>
      <c r="P130" t="str">
        <f>_xlfn.XLOOKUP(Orders[[#This Row],[Customer ID]],customers!$A$1:$A$1001,customers!$I$1:$I$1001,"",0,1)</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IF(_xlfn.XLOOKUP(C131,customers!$A$1:$A$1001,customers!$C$1:$C$1001,,0,1)=0,"",(_xlfn.XLOOKUP(C131,customers!$A$1:$A$1001,customers!$C$1:$C$1001,,0,1)))</f>
        <v>edacca3l@google.pl</v>
      </c>
      <c r="H131" s="2" t="str">
        <f>_xlfn.XLOOKUP(C131,customers!$A$1:$A$1001,customers!$G$1:$G$1001,,0,1)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6">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ID]],customers!$A$1:$A$1001,customers!$I$1:$I$1001,"",0,1)</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IF(_xlfn.XLOOKUP(C132,customers!$A$1:$A$1001,customers!$C$1:$C$1001,,0,1)=0,"",(_xlfn.XLOOKUP(C132,customers!$A$1:$A$1001,customers!$C$1:$C$1001,,0,1)))</f>
        <v/>
      </c>
      <c r="H132" s="2" t="str">
        <f>_xlfn.XLOOKUP(C132,customers!$A$1:$A$1001,customers!$G$1:$G$1001,,0,1)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6">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ID]],customers!$A$1:$A$1001,customers!$I$1:$I$1001,"",0,1)</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IF(_xlfn.XLOOKUP(C133,customers!$A$1:$A$1001,customers!$C$1:$C$1001,,0,1)=0,"",(_xlfn.XLOOKUP(C133,customers!$A$1:$A$1001,customers!$C$1:$C$1001,,0,1)))</f>
        <v>bhindsberg3n@blogs.com</v>
      </c>
      <c r="H133" s="2" t="str">
        <f>_xlfn.XLOOKUP(C133,customers!$A$1:$A$1001,customers!$G$1:$G$1001,,0,1)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6">
        <f>INDEX(products!$A$1:$G$49,MATCH(orders!$D133,products!$A$1:$A$49,0),MATCH(orders!L$1,products!$A$1:$G$1,0))</f>
        <v>7.29</v>
      </c>
      <c r="M133" s="5">
        <f t="shared" si="6"/>
        <v>14.58</v>
      </c>
      <c r="N133" t="str">
        <f t="shared" si="7"/>
        <v>Excelsa</v>
      </c>
      <c r="O133" t="str">
        <f t="shared" si="8"/>
        <v>Dark</v>
      </c>
      <c r="P133" t="str">
        <f>_xlfn.XLOOKUP(Orders[[#This Row],[Customer ID]],customers!$A$1:$A$1001,customers!$I$1:$I$1001,"",0,1)</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IF(_xlfn.XLOOKUP(C134,customers!$A$1:$A$1001,customers!$C$1:$C$1001,,0,1)=0,"",(_xlfn.XLOOKUP(C134,customers!$A$1:$A$1001,customers!$C$1:$C$1001,,0,1)))</f>
        <v>orobins3o@salon.com</v>
      </c>
      <c r="H134" s="2" t="str">
        <f>_xlfn.XLOOKUP(C134,customers!$A$1:$A$1001,customers!$G$1:$G$1001,,0,1)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6">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ID]],customers!$A$1:$A$1001,customers!$I$1:$I$1001,"",0,1)</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IF(_xlfn.XLOOKUP(C135,customers!$A$1:$A$1001,customers!$C$1:$C$1001,,0,1)=0,"",(_xlfn.XLOOKUP(C135,customers!$A$1:$A$1001,customers!$C$1:$C$1001,,0,1)))</f>
        <v>osyseland3p@independent.co.uk</v>
      </c>
      <c r="H135" s="2" t="str">
        <f>_xlfn.XLOOKUP(C135,customers!$A$1:$A$1001,customers!$G$1:$G$1001,,0,1)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6">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ID]],customers!$A$1:$A$1001,customers!$I$1:$I$1001,"",0,1)</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IF(_xlfn.XLOOKUP(C136,customers!$A$1:$A$1001,customers!$C$1:$C$1001,,0,1)=0,"",(_xlfn.XLOOKUP(C136,customers!$A$1:$A$1001,customers!$C$1:$C$1001,,0,1)))</f>
        <v/>
      </c>
      <c r="H136" s="2" t="str">
        <f>_xlfn.XLOOKUP(C136,customers!$A$1:$A$1001,customers!$G$1:$G$1001,,0,1)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6">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ID]],customers!$A$1:$A$1001,customers!$I$1:$I$1001,"",0,1)</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IF(_xlfn.XLOOKUP(C137,customers!$A$1:$A$1001,customers!$C$1:$C$1001,,0,1)=0,"",(_xlfn.XLOOKUP(C137,customers!$A$1:$A$1001,customers!$C$1:$C$1001,,0,1)))</f>
        <v>bmcamish2e@tripadvisor.com</v>
      </c>
      <c r="H137" s="2" t="str">
        <f>_xlfn.XLOOKUP(C137,customers!$A$1:$A$1001,customers!$G$1:$G$1001,,0,1)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6">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ID]],customers!$A$1:$A$1001,customers!$I$1:$I$1001,"",0,1)</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IF(_xlfn.XLOOKUP(C138,customers!$A$1:$A$1001,customers!$C$1:$C$1001,,0,1)=0,"",(_xlfn.XLOOKUP(C138,customers!$A$1:$A$1001,customers!$C$1:$C$1001,,0,1)))</f>
        <v>lkeenleyside3s@topsy.com</v>
      </c>
      <c r="H138" s="2" t="str">
        <f>_xlfn.XLOOKUP(C138,customers!$A$1:$A$1001,customers!$G$1:$G$1001,,0,1)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6">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ID]],customers!$A$1:$A$1001,customers!$I$1:$I$1001,"",0,1)</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IF(_xlfn.XLOOKUP(C139,customers!$A$1:$A$1001,customers!$C$1:$C$1001,,0,1)=0,"",(_xlfn.XLOOKUP(C139,customers!$A$1:$A$1001,customers!$C$1:$C$1001,,0,1)))</f>
        <v/>
      </c>
      <c r="H139" s="2" t="str">
        <f>_xlfn.XLOOKUP(C139,customers!$A$1:$A$1001,customers!$G$1:$G$1001,,0,1)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6">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ID]],customers!$A$1:$A$1001,customers!$I$1:$I$1001,"",0,1)</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IF(_xlfn.XLOOKUP(C140,customers!$A$1:$A$1001,customers!$C$1:$C$1001,,0,1)=0,"",(_xlfn.XLOOKUP(C140,customers!$A$1:$A$1001,customers!$C$1:$C$1001,,0,1)))</f>
        <v/>
      </c>
      <c r="H140" s="2" t="str">
        <f>_xlfn.XLOOKUP(C140,customers!$A$1:$A$1001,customers!$G$1:$G$1001,,0,1)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6">
        <f>INDEX(products!$A$1:$G$49,MATCH(orders!$D140,products!$A$1:$A$49,0),MATCH(orders!L$1,products!$A$1:$G$1,0))</f>
        <v>12.15</v>
      </c>
      <c r="M140" s="5">
        <f t="shared" si="6"/>
        <v>48.6</v>
      </c>
      <c r="N140" t="str">
        <f t="shared" si="7"/>
        <v>Excelsa</v>
      </c>
      <c r="O140" t="str">
        <f t="shared" si="8"/>
        <v>Dark</v>
      </c>
      <c r="P140" t="str">
        <f>_xlfn.XLOOKUP(Orders[[#This Row],[Customer ID]],customers!$A$1:$A$1001,customers!$I$1:$I$1001,"",0,1)</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IF(_xlfn.XLOOKUP(C141,customers!$A$1:$A$1001,customers!$C$1:$C$1001,,0,1)=0,"",(_xlfn.XLOOKUP(C141,customers!$A$1:$A$1001,customers!$C$1:$C$1001,,0,1)))</f>
        <v/>
      </c>
      <c r="H141" s="2" t="str">
        <f>_xlfn.XLOOKUP(C141,customers!$A$1:$A$1001,customers!$G$1:$G$1001,,0,1)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6">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ID]],customers!$A$1:$A$1001,customers!$I$1:$I$1001,"",0,1)</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IF(_xlfn.XLOOKUP(C142,customers!$A$1:$A$1001,customers!$C$1:$C$1001,,0,1)=0,"",(_xlfn.XLOOKUP(C142,customers!$A$1:$A$1001,customers!$C$1:$C$1001,,0,1)))</f>
        <v>vkundt3w@bigcartel.com</v>
      </c>
      <c r="H142" s="2" t="str">
        <f>_xlfn.XLOOKUP(C142,customers!$A$1:$A$1001,customers!$G$1:$G$1001,,0,1)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6">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ID]],customers!$A$1:$A$1001,customers!$I$1:$I$1001,"",0,1)</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IF(_xlfn.XLOOKUP(C143,customers!$A$1:$A$1001,customers!$C$1:$C$1001,,0,1)=0,"",(_xlfn.XLOOKUP(C143,customers!$A$1:$A$1001,customers!$C$1:$C$1001,,0,1)))</f>
        <v>bbett3x@google.de</v>
      </c>
      <c r="H143" s="2" t="str">
        <f>_xlfn.XLOOKUP(C143,customers!$A$1:$A$1001,customers!$G$1:$G$1001,,0,1)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6">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ID]],customers!$A$1:$A$1001,customers!$I$1:$I$1001,"",0,1)</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IF(_xlfn.XLOOKUP(C144,customers!$A$1:$A$1001,customers!$C$1:$C$1001,,0,1)=0,"",(_xlfn.XLOOKUP(C144,customers!$A$1:$A$1001,customers!$C$1:$C$1001,,0,1)))</f>
        <v/>
      </c>
      <c r="H144" s="2" t="str">
        <f>_xlfn.XLOOKUP(C144,customers!$A$1:$A$1001,customers!$G$1:$G$1001,,0,1)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6">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ID]],customers!$A$1:$A$1001,customers!$I$1:$I$1001,"",0,1)</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IF(_xlfn.XLOOKUP(C145,customers!$A$1:$A$1001,customers!$C$1:$C$1001,,0,1)=0,"",(_xlfn.XLOOKUP(C145,customers!$A$1:$A$1001,customers!$C$1:$C$1001,,0,1)))</f>
        <v>dstaite3z@scientificamerican.com</v>
      </c>
      <c r="H145" s="2" t="str">
        <f>_xlfn.XLOOKUP(C145,customers!$A$1:$A$1001,customers!$G$1:$G$1001,,0,1)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6">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ID]],customers!$A$1:$A$1001,customers!$I$1:$I$1001,"",0,1)</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IF(_xlfn.XLOOKUP(C146,customers!$A$1:$A$1001,customers!$C$1:$C$1001,,0,1)=0,"",(_xlfn.XLOOKUP(C146,customers!$A$1:$A$1001,customers!$C$1:$C$1001,,0,1)))</f>
        <v>wkeyse40@apple.com</v>
      </c>
      <c r="H146" s="2" t="str">
        <f>_xlfn.XLOOKUP(C146,customers!$A$1:$A$1001,customers!$G$1:$G$1001,,0,1)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6">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ID]],customers!$A$1:$A$1001,customers!$I$1:$I$1001,"",0,1)</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IF(_xlfn.XLOOKUP(C147,customers!$A$1:$A$1001,customers!$C$1:$C$1001,,0,1)=0,"",(_xlfn.XLOOKUP(C147,customers!$A$1:$A$1001,customers!$C$1:$C$1001,,0,1)))</f>
        <v>oclausenthue41@marriott.com</v>
      </c>
      <c r="H147" s="2" t="str">
        <f>_xlfn.XLOOKUP(C147,customers!$A$1:$A$1001,customers!$G$1:$G$1001,,0,1)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6">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ID]],customers!$A$1:$A$1001,customers!$I$1:$I$1001,"",0,1)</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IF(_xlfn.XLOOKUP(C148,customers!$A$1:$A$1001,customers!$C$1:$C$1001,,0,1)=0,"",(_xlfn.XLOOKUP(C148,customers!$A$1:$A$1001,customers!$C$1:$C$1001,,0,1)))</f>
        <v>lfrancisco42@fema.gov</v>
      </c>
      <c r="H148" s="2" t="str">
        <f>_xlfn.XLOOKUP(C148,customers!$A$1:$A$1001,customers!$G$1:$G$1001,,0,1)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6">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ID]],customers!$A$1:$A$1001,customers!$I$1:$I$1001,"",0,1)</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IF(_xlfn.XLOOKUP(C149,customers!$A$1:$A$1001,customers!$C$1:$C$1001,,0,1)=0,"",(_xlfn.XLOOKUP(C149,customers!$A$1:$A$1001,customers!$C$1:$C$1001,,0,1)))</f>
        <v>lfrancisco42@fema.gov</v>
      </c>
      <c r="H149" s="2" t="str">
        <f>_xlfn.XLOOKUP(C149,customers!$A$1:$A$1001,customers!$G$1:$G$1001,,0,1)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6">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ID]],customers!$A$1:$A$1001,customers!$I$1:$I$1001,"",0,1)</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IF(_xlfn.XLOOKUP(C150,customers!$A$1:$A$1001,customers!$C$1:$C$1001,,0,1)=0,"",(_xlfn.XLOOKUP(C150,customers!$A$1:$A$1001,customers!$C$1:$C$1001,,0,1)))</f>
        <v>gskingle44@clickbank.net</v>
      </c>
      <c r="H150" s="2" t="str">
        <f>_xlfn.XLOOKUP(C150,customers!$A$1:$A$1001,customers!$G$1:$G$1001,,0,1)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6">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ID]],customers!$A$1:$A$1001,customers!$I$1:$I$1001,"",0,1)</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IF(_xlfn.XLOOKUP(C151,customers!$A$1:$A$1001,customers!$C$1:$C$1001,,0,1)=0,"",(_xlfn.XLOOKUP(C151,customers!$A$1:$A$1001,customers!$C$1:$C$1001,,0,1)))</f>
        <v/>
      </c>
      <c r="H151" s="2" t="str">
        <f>_xlfn.XLOOKUP(C151,customers!$A$1:$A$1001,customers!$G$1:$G$1001,,0,1)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6">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ID]],customers!$A$1:$A$1001,customers!$I$1:$I$1001,"",0,1)</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IF(_xlfn.XLOOKUP(C152,customers!$A$1:$A$1001,customers!$C$1:$C$1001,,0,1)=0,"",(_xlfn.XLOOKUP(C152,customers!$A$1:$A$1001,customers!$C$1:$C$1001,,0,1)))</f>
        <v>jbalsillie46@princeton.edu</v>
      </c>
      <c r="H152" s="2" t="str">
        <f>_xlfn.XLOOKUP(C152,customers!$A$1:$A$1001,customers!$G$1:$G$1001,,0,1)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6">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ID]],customers!$A$1:$A$1001,customers!$I$1:$I$1001,"",0,1)</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IF(_xlfn.XLOOKUP(C153,customers!$A$1:$A$1001,customers!$C$1:$C$1001,,0,1)=0,"",(_xlfn.XLOOKUP(C153,customers!$A$1:$A$1001,customers!$C$1:$C$1001,,0,1)))</f>
        <v/>
      </c>
      <c r="H153" s="2" t="str">
        <f>_xlfn.XLOOKUP(C153,customers!$A$1:$A$1001,customers!$G$1:$G$1001,,0,1)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6">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ID]],customers!$A$1:$A$1001,customers!$I$1:$I$1001,"",0,1)</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IF(_xlfn.XLOOKUP(C154,customers!$A$1:$A$1001,customers!$C$1:$C$1001,,0,1)=0,"",(_xlfn.XLOOKUP(C154,customers!$A$1:$A$1001,customers!$C$1:$C$1001,,0,1)))</f>
        <v>bleffek48@ning.com</v>
      </c>
      <c r="H154" s="2" t="str">
        <f>_xlfn.XLOOKUP(C154,customers!$A$1:$A$1001,customers!$G$1:$G$1001,,0,1)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6">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ID]],customers!$A$1:$A$1001,customers!$I$1:$I$1001,"",0,1)</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IF(_xlfn.XLOOKUP(C155,customers!$A$1:$A$1001,customers!$C$1:$C$1001,,0,1)=0,"",(_xlfn.XLOOKUP(C155,customers!$A$1:$A$1001,customers!$C$1:$C$1001,,0,1)))</f>
        <v/>
      </c>
      <c r="H155" s="2" t="str">
        <f>_xlfn.XLOOKUP(C155,customers!$A$1:$A$1001,customers!$G$1:$G$1001,,0,1)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6">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ID]],customers!$A$1:$A$1001,customers!$I$1:$I$1001,"",0,1)</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IF(_xlfn.XLOOKUP(C156,customers!$A$1:$A$1001,customers!$C$1:$C$1001,,0,1)=0,"",(_xlfn.XLOOKUP(C156,customers!$A$1:$A$1001,customers!$C$1:$C$1001,,0,1)))</f>
        <v>jpray4a@youtube.com</v>
      </c>
      <c r="H156" s="2" t="str">
        <f>_xlfn.XLOOKUP(C156,customers!$A$1:$A$1001,customers!$G$1:$G$1001,,0,1)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6">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ID]],customers!$A$1:$A$1001,customers!$I$1:$I$1001,"",0,1)</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IF(_xlfn.XLOOKUP(C157,customers!$A$1:$A$1001,customers!$C$1:$C$1001,,0,1)=0,"",(_xlfn.XLOOKUP(C157,customers!$A$1:$A$1001,customers!$C$1:$C$1001,,0,1)))</f>
        <v>gholborn4b@ow.ly</v>
      </c>
      <c r="H157" s="2" t="str">
        <f>_xlfn.XLOOKUP(C157,customers!$A$1:$A$1001,customers!$G$1:$G$1001,,0,1)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6">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ID]],customers!$A$1:$A$1001,customers!$I$1:$I$1001,"",0,1)</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IF(_xlfn.XLOOKUP(C158,customers!$A$1:$A$1001,customers!$C$1:$C$1001,,0,1)=0,"",(_xlfn.XLOOKUP(C158,customers!$A$1:$A$1001,customers!$C$1:$C$1001,,0,1)))</f>
        <v>fkeinrat4c@dailymail.co.uk</v>
      </c>
      <c r="H158" s="2" t="str">
        <f>_xlfn.XLOOKUP(C158,customers!$A$1:$A$1001,customers!$G$1:$G$1001,,0,1)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6">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ID]],customers!$A$1:$A$1001,customers!$I$1:$I$1001,"",0,1)</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IF(_xlfn.XLOOKUP(C159,customers!$A$1:$A$1001,customers!$C$1:$C$1001,,0,1)=0,"",(_xlfn.XLOOKUP(C159,customers!$A$1:$A$1001,customers!$C$1:$C$1001,,0,1)))</f>
        <v>pyea4d@aol.com</v>
      </c>
      <c r="H159" s="2" t="str">
        <f>_xlfn.XLOOKUP(C159,customers!$A$1:$A$1001,customers!$G$1:$G$1001,,0,1)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6">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ID]],customers!$A$1:$A$1001,customers!$I$1:$I$1001,"",0,1)</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IF(_xlfn.XLOOKUP(C160,customers!$A$1:$A$1001,customers!$C$1:$C$1001,,0,1)=0,"",(_xlfn.XLOOKUP(C160,customers!$A$1:$A$1001,customers!$C$1:$C$1001,,0,1)))</f>
        <v/>
      </c>
      <c r="H160" s="2" t="str">
        <f>_xlfn.XLOOKUP(C160,customers!$A$1:$A$1001,customers!$G$1:$G$1001,,0,1)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6">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ID]],customers!$A$1:$A$1001,customers!$I$1:$I$1001,"",0,1)</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IF(_xlfn.XLOOKUP(C161,customers!$A$1:$A$1001,customers!$C$1:$C$1001,,0,1)=0,"",(_xlfn.XLOOKUP(C161,customers!$A$1:$A$1001,customers!$C$1:$C$1001,,0,1)))</f>
        <v/>
      </c>
      <c r="H161" s="2" t="str">
        <f>_xlfn.XLOOKUP(C161,customers!$A$1:$A$1001,customers!$G$1:$G$1001,,0,1)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6">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ID]],customers!$A$1:$A$1001,customers!$I$1:$I$1001,"",0,1)</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IF(_xlfn.XLOOKUP(C162,customers!$A$1:$A$1001,customers!$C$1:$C$1001,,0,1)=0,"",(_xlfn.XLOOKUP(C162,customers!$A$1:$A$1001,customers!$C$1:$C$1001,,0,1)))</f>
        <v>kswede4g@addthis.com</v>
      </c>
      <c r="H162" s="2" t="str">
        <f>_xlfn.XLOOKUP(C162,customers!$A$1:$A$1001,customers!$G$1:$G$1001,,0,1)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6">
        <f>INDEX(products!$A$1:$G$49,MATCH(orders!$D162,products!$A$1:$A$49,0),MATCH(orders!L$1,products!$A$1:$G$1,0))</f>
        <v>8.25</v>
      </c>
      <c r="M162" s="5">
        <f t="shared" si="6"/>
        <v>33</v>
      </c>
      <c r="N162" t="str">
        <f t="shared" si="7"/>
        <v>Excelsa</v>
      </c>
      <c r="O162" t="str">
        <f t="shared" si="8"/>
        <v>Medium</v>
      </c>
      <c r="P162" t="str">
        <f>_xlfn.XLOOKUP(Orders[[#This Row],[Customer ID]],customers!$A$1:$A$1001,customers!$I$1:$I$1001,"",0,1)</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IF(_xlfn.XLOOKUP(C163,customers!$A$1:$A$1001,customers!$C$1:$C$1001,,0,1)=0,"",(_xlfn.XLOOKUP(C163,customers!$A$1:$A$1001,customers!$C$1:$C$1001,,0,1)))</f>
        <v>lrubrow4h@microsoft.com</v>
      </c>
      <c r="H163" s="2" t="str">
        <f>_xlfn.XLOOKUP(C163,customers!$A$1:$A$1001,customers!$G$1:$G$1001,,0,1)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6">
        <f>INDEX(products!$A$1:$G$49,MATCH(orders!$D163,products!$A$1:$A$49,0),MATCH(orders!L$1,products!$A$1:$G$1,0))</f>
        <v>7.77</v>
      </c>
      <c r="M163" s="5">
        <f t="shared" si="6"/>
        <v>23.31</v>
      </c>
      <c r="N163" t="str">
        <f t="shared" si="7"/>
        <v>Arabica</v>
      </c>
      <c r="O163" t="str">
        <f t="shared" si="8"/>
        <v>Light</v>
      </c>
      <c r="P163" t="str">
        <f>_xlfn.XLOOKUP(Orders[[#This Row],[Customer ID]],customers!$A$1:$A$1001,customers!$I$1:$I$1001,"",0,1)</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IF(_xlfn.XLOOKUP(C164,customers!$A$1:$A$1001,customers!$C$1:$C$1001,,0,1)=0,"",(_xlfn.XLOOKUP(C164,customers!$A$1:$A$1001,customers!$C$1:$C$1001,,0,1)))</f>
        <v>dtift4i@netvibes.com</v>
      </c>
      <c r="H164" s="2" t="str">
        <f>_xlfn.XLOOKUP(C164,customers!$A$1:$A$1001,customers!$G$1:$G$1001,,0,1)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6">
        <f>INDEX(products!$A$1:$G$49,MATCH(orders!$D164,products!$A$1:$A$49,0),MATCH(orders!L$1,products!$A$1:$G$1,0))</f>
        <v>7.29</v>
      </c>
      <c r="M164" s="5">
        <f t="shared" si="6"/>
        <v>21.87</v>
      </c>
      <c r="N164" t="str">
        <f t="shared" si="7"/>
        <v>Excelsa</v>
      </c>
      <c r="O164" t="str">
        <f t="shared" si="8"/>
        <v>Dark</v>
      </c>
      <c r="P164" t="str">
        <f>_xlfn.XLOOKUP(Orders[[#This Row],[Customer ID]],customers!$A$1:$A$1001,customers!$I$1:$I$1001,"",0,1)</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IF(_xlfn.XLOOKUP(C165,customers!$A$1:$A$1001,customers!$C$1:$C$1001,,0,1)=0,"",(_xlfn.XLOOKUP(C165,customers!$A$1:$A$1001,customers!$C$1:$C$1001,,0,1)))</f>
        <v>gschonfeld4j@oracle.com</v>
      </c>
      <c r="H165" s="2" t="str">
        <f>_xlfn.XLOOKUP(C165,customers!$A$1:$A$1001,customers!$G$1:$G$1001,,0,1)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6">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ID]],customers!$A$1:$A$1001,customers!$I$1:$I$1001,"",0,1)</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IF(_xlfn.XLOOKUP(C166,customers!$A$1:$A$1001,customers!$C$1:$C$1001,,0,1)=0,"",(_xlfn.XLOOKUP(C166,customers!$A$1:$A$1001,customers!$C$1:$C$1001,,0,1)))</f>
        <v>cfeye4k@google.co.jp</v>
      </c>
      <c r="H166" s="2" t="str">
        <f>_xlfn.XLOOKUP(C166,customers!$A$1:$A$1001,customers!$G$1:$G$1001,,0,1)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6">
        <f>INDEX(products!$A$1:$G$49,MATCH(orders!$D166,products!$A$1:$A$49,0),MATCH(orders!L$1,products!$A$1:$G$1,0))</f>
        <v>7.29</v>
      </c>
      <c r="M166" s="5">
        <f t="shared" si="6"/>
        <v>29.16</v>
      </c>
      <c r="N166" t="str">
        <f t="shared" si="7"/>
        <v>Excelsa</v>
      </c>
      <c r="O166" t="str">
        <f t="shared" si="8"/>
        <v>Dark</v>
      </c>
      <c r="P166" t="str">
        <f>_xlfn.XLOOKUP(Orders[[#This Row],[Customer ID]],customers!$A$1:$A$1001,customers!$I$1:$I$1001,"",0,1)</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IF(_xlfn.XLOOKUP(C167,customers!$A$1:$A$1001,customers!$C$1:$C$1001,,0,1)=0,"",(_xlfn.XLOOKUP(C167,customers!$A$1:$A$1001,customers!$C$1:$C$1001,,0,1)))</f>
        <v/>
      </c>
      <c r="H167" s="2" t="str">
        <f>_xlfn.XLOOKUP(C167,customers!$A$1:$A$1001,customers!$G$1:$G$1001,,0,1)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6">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ID]],customers!$A$1:$A$1001,customers!$I$1:$I$1001,"",0,1)</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IF(_xlfn.XLOOKUP(C168,customers!$A$1:$A$1001,customers!$C$1:$C$1001,,0,1)=0,"",(_xlfn.XLOOKUP(C168,customers!$A$1:$A$1001,customers!$C$1:$C$1001,,0,1)))</f>
        <v/>
      </c>
      <c r="H168" s="2" t="str">
        <f>_xlfn.XLOOKUP(C168,customers!$A$1:$A$1001,customers!$G$1:$G$1001,,0,1)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6">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ID]],customers!$A$1:$A$1001,customers!$I$1:$I$1001,"",0,1)</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IF(_xlfn.XLOOKUP(C169,customers!$A$1:$A$1001,customers!$C$1:$C$1001,,0,1)=0,"",(_xlfn.XLOOKUP(C169,customers!$A$1:$A$1001,customers!$C$1:$C$1001,,0,1)))</f>
        <v>tfero4n@comsenz.com</v>
      </c>
      <c r="H169" s="2" t="str">
        <f>_xlfn.XLOOKUP(C169,customers!$A$1:$A$1001,customers!$G$1:$G$1001,,0,1)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6">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ID]],customers!$A$1:$A$1001,customers!$I$1:$I$1001,"",0,1)</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IF(_xlfn.XLOOKUP(C170,customers!$A$1:$A$1001,customers!$C$1:$C$1001,,0,1)=0,"",(_xlfn.XLOOKUP(C170,customers!$A$1:$A$1001,customers!$C$1:$C$1001,,0,1)))</f>
        <v/>
      </c>
      <c r="H170" s="2" t="str">
        <f>_xlfn.XLOOKUP(C170,customers!$A$1:$A$1001,customers!$G$1:$G$1001,,0,1)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6">
        <f>INDEX(products!$A$1:$G$49,MATCH(orders!$D170,products!$A$1:$A$49,0),MATCH(orders!L$1,products!$A$1:$G$1,0))</f>
        <v>6.75</v>
      </c>
      <c r="M170" s="5">
        <f t="shared" si="6"/>
        <v>40.5</v>
      </c>
      <c r="N170" t="str">
        <f t="shared" si="7"/>
        <v>Arabica</v>
      </c>
      <c r="O170" t="str">
        <f t="shared" si="8"/>
        <v>Medium</v>
      </c>
      <c r="P170" t="str">
        <f>_xlfn.XLOOKUP(Orders[[#This Row],[Customer ID]],customers!$A$1:$A$1001,customers!$I$1:$I$1001,"",0,1)</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IF(_xlfn.XLOOKUP(C171,customers!$A$1:$A$1001,customers!$C$1:$C$1001,,0,1)=0,"",(_xlfn.XLOOKUP(C171,customers!$A$1:$A$1001,customers!$C$1:$C$1001,,0,1)))</f>
        <v>fdauney4p@sphinn.com</v>
      </c>
      <c r="H171" s="2" t="str">
        <f>_xlfn.XLOOKUP(C171,customers!$A$1:$A$1001,customers!$G$1:$G$1001,,0,1)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6">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ID]],customers!$A$1:$A$1001,customers!$I$1:$I$1001,"",0,1)</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IF(_xlfn.XLOOKUP(C172,customers!$A$1:$A$1001,customers!$C$1:$C$1001,,0,1)=0,"",(_xlfn.XLOOKUP(C172,customers!$A$1:$A$1001,customers!$C$1:$C$1001,,0,1)))</f>
        <v>searley4q@youku.com</v>
      </c>
      <c r="H172" s="2" t="str">
        <f>_xlfn.XLOOKUP(C172,customers!$A$1:$A$1001,customers!$G$1:$G$1001,,0,1)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6">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ID]],customers!$A$1:$A$1001,customers!$I$1:$I$1001,"",0,1)</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IF(_xlfn.XLOOKUP(C173,customers!$A$1:$A$1001,customers!$C$1:$C$1001,,0,1)=0,"",(_xlfn.XLOOKUP(C173,customers!$A$1:$A$1001,customers!$C$1:$C$1001,,0,1)))</f>
        <v>mchamberlayne4r@bigcartel.com</v>
      </c>
      <c r="H173" s="2" t="str">
        <f>_xlfn.XLOOKUP(C173,customers!$A$1:$A$1001,customers!$G$1:$G$1001,,0,1)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6">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ID]],customers!$A$1:$A$1001,customers!$I$1:$I$1001,"",0,1)</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IF(_xlfn.XLOOKUP(C174,customers!$A$1:$A$1001,customers!$C$1:$C$1001,,0,1)=0,"",(_xlfn.XLOOKUP(C174,customers!$A$1:$A$1001,customers!$C$1:$C$1001,,0,1)))</f>
        <v>bflaherty4s@moonfruit.com</v>
      </c>
      <c r="H174" s="2" t="str">
        <f>_xlfn.XLOOKUP(C174,customers!$A$1:$A$1001,customers!$G$1:$G$1001,,0,1)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6">
        <f>INDEX(products!$A$1:$G$49,MATCH(orders!$D174,products!$A$1:$A$49,0),MATCH(orders!L$1,products!$A$1:$G$1,0))</f>
        <v>7.29</v>
      </c>
      <c r="M174" s="5">
        <f t="shared" si="6"/>
        <v>21.87</v>
      </c>
      <c r="N174" t="str">
        <f t="shared" si="7"/>
        <v>Excelsa</v>
      </c>
      <c r="O174" t="str">
        <f t="shared" si="8"/>
        <v>Dark</v>
      </c>
      <c r="P174" t="str">
        <f>_xlfn.XLOOKUP(Orders[[#This Row],[Customer ID]],customers!$A$1:$A$1001,customers!$I$1:$I$1001,"",0,1)</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IF(_xlfn.XLOOKUP(C175,customers!$A$1:$A$1001,customers!$C$1:$C$1001,,0,1)=0,"",(_xlfn.XLOOKUP(C175,customers!$A$1:$A$1001,customers!$C$1:$C$1001,,0,1)))</f>
        <v>ocolbeck4t@sina.com.cn</v>
      </c>
      <c r="H175" s="2" t="str">
        <f>_xlfn.XLOOKUP(C175,customers!$A$1:$A$1001,customers!$G$1:$G$1001,,0,1)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6">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ID]],customers!$A$1:$A$1001,customers!$I$1:$I$1001,"",0,1)</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IF(_xlfn.XLOOKUP(C176,customers!$A$1:$A$1001,customers!$C$1:$C$1001,,0,1)=0,"",(_xlfn.XLOOKUP(C176,customers!$A$1:$A$1001,customers!$C$1:$C$1001,,0,1)))</f>
        <v/>
      </c>
      <c r="H176" s="2" t="str">
        <f>_xlfn.XLOOKUP(C176,customers!$A$1:$A$1001,customers!$G$1:$G$1001,,0,1)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6">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ID]],customers!$A$1:$A$1001,customers!$I$1:$I$1001,"",0,1)</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IF(_xlfn.XLOOKUP(C177,customers!$A$1:$A$1001,customers!$C$1:$C$1001,,0,1)=0,"",(_xlfn.XLOOKUP(C177,customers!$A$1:$A$1001,customers!$C$1:$C$1001,,0,1)))</f>
        <v>ehobbing4v@nsw.gov.au</v>
      </c>
      <c r="H177" s="2" t="str">
        <f>_xlfn.XLOOKUP(C177,customers!$A$1:$A$1001,customers!$G$1:$G$1001,,0,1)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6">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ID]],customers!$A$1:$A$1001,customers!$I$1:$I$1001,"",0,1)</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IF(_xlfn.XLOOKUP(C178,customers!$A$1:$A$1001,customers!$C$1:$C$1001,,0,1)=0,"",(_xlfn.XLOOKUP(C178,customers!$A$1:$A$1001,customers!$C$1:$C$1001,,0,1)))</f>
        <v>othynne4w@auda.org.au</v>
      </c>
      <c r="H178" s="2" t="str">
        <f>_xlfn.XLOOKUP(C178,customers!$A$1:$A$1001,customers!$G$1:$G$1001,,0,1)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6">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ID]],customers!$A$1:$A$1001,customers!$I$1:$I$1001,"",0,1)</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IF(_xlfn.XLOOKUP(C179,customers!$A$1:$A$1001,customers!$C$1:$C$1001,,0,1)=0,"",(_xlfn.XLOOKUP(C179,customers!$A$1:$A$1001,customers!$C$1:$C$1001,,0,1)))</f>
        <v>eheining4x@flickr.com</v>
      </c>
      <c r="H179" s="2" t="str">
        <f>_xlfn.XLOOKUP(C179,customers!$A$1:$A$1001,customers!$G$1:$G$1001,,0,1)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6">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ID]],customers!$A$1:$A$1001,customers!$I$1:$I$1001,"",0,1)</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IF(_xlfn.XLOOKUP(C180,customers!$A$1:$A$1001,customers!$C$1:$C$1001,,0,1)=0,"",(_xlfn.XLOOKUP(C180,customers!$A$1:$A$1001,customers!$C$1:$C$1001,,0,1)))</f>
        <v>kmelloi4y@imdb.com</v>
      </c>
      <c r="H180" s="2" t="str">
        <f>_xlfn.XLOOKUP(C180,customers!$A$1:$A$1001,customers!$G$1:$G$1001,,0,1)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6">
        <f>INDEX(products!$A$1:$G$49,MATCH(orders!$D180,products!$A$1:$A$49,0),MATCH(orders!L$1,products!$A$1:$G$1,0))</f>
        <v>12.95</v>
      </c>
      <c r="M180" s="5">
        <f t="shared" si="6"/>
        <v>25.9</v>
      </c>
      <c r="N180" t="str">
        <f t="shared" si="7"/>
        <v>Arabica</v>
      </c>
      <c r="O180" t="str">
        <f t="shared" si="8"/>
        <v>Light</v>
      </c>
      <c r="P180" t="str">
        <f>_xlfn.XLOOKUP(Orders[[#This Row],[Customer ID]],customers!$A$1:$A$1001,customers!$I$1:$I$1001,"",0,1)</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IF(_xlfn.XLOOKUP(C181,customers!$A$1:$A$1001,customers!$C$1:$C$1001,,0,1)=0,"",(_xlfn.XLOOKUP(C181,customers!$A$1:$A$1001,customers!$C$1:$C$1001,,0,1)))</f>
        <v/>
      </c>
      <c r="H181" s="2" t="str">
        <f>_xlfn.XLOOKUP(C181,customers!$A$1:$A$1001,customers!$G$1:$G$1001,,0,1)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6">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ID]],customers!$A$1:$A$1001,customers!$I$1:$I$1001,"",0,1)</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IF(_xlfn.XLOOKUP(C182,customers!$A$1:$A$1001,customers!$C$1:$C$1001,,0,1)=0,"",(_xlfn.XLOOKUP(C182,customers!$A$1:$A$1001,customers!$C$1:$C$1001,,0,1)))</f>
        <v>amussen50@51.la</v>
      </c>
      <c r="H182" s="2" t="str">
        <f>_xlfn.XLOOKUP(C182,customers!$A$1:$A$1001,customers!$G$1:$G$1001,,0,1)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6">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ID]],customers!$A$1:$A$1001,customers!$I$1:$I$1001,"",0,1)</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IF(_xlfn.XLOOKUP(C183,customers!$A$1:$A$1001,customers!$C$1:$C$1001,,0,1)=0,"",(_xlfn.XLOOKUP(C183,customers!$A$1:$A$1001,customers!$C$1:$C$1001,,0,1)))</f>
        <v>amussen50@51.la</v>
      </c>
      <c r="H183" s="2" t="str">
        <f>_xlfn.XLOOKUP(C183,customers!$A$1:$A$1001,customers!$G$1:$G$1001,,0,1)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6">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ID]],customers!$A$1:$A$1001,customers!$I$1:$I$1001,"",0,1)</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IF(_xlfn.XLOOKUP(C184,customers!$A$1:$A$1001,customers!$C$1:$C$1001,,0,1)=0,"",(_xlfn.XLOOKUP(C184,customers!$A$1:$A$1001,customers!$C$1:$C$1001,,0,1)))</f>
        <v>amundford52@nbcnews.com</v>
      </c>
      <c r="H184" s="2" t="str">
        <f>_xlfn.XLOOKUP(C184,customers!$A$1:$A$1001,customers!$G$1:$G$1001,,0,1)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6">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ID]],customers!$A$1:$A$1001,customers!$I$1:$I$1001,"",0,1)</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IF(_xlfn.XLOOKUP(C185,customers!$A$1:$A$1001,customers!$C$1:$C$1001,,0,1)=0,"",(_xlfn.XLOOKUP(C185,customers!$A$1:$A$1001,customers!$C$1:$C$1001,,0,1)))</f>
        <v>twalas53@google.ca</v>
      </c>
      <c r="H185" s="2" t="str">
        <f>_xlfn.XLOOKUP(C185,customers!$A$1:$A$1001,customers!$G$1:$G$1001,,0,1)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6">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ID]],customers!$A$1:$A$1001,customers!$I$1:$I$1001,"",0,1)</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IF(_xlfn.XLOOKUP(C186,customers!$A$1:$A$1001,customers!$C$1:$C$1001,,0,1)=0,"",(_xlfn.XLOOKUP(C186,customers!$A$1:$A$1001,customers!$C$1:$C$1001,,0,1)))</f>
        <v>iblazewicz54@thetimes.co.uk</v>
      </c>
      <c r="H186" s="2" t="str">
        <f>_xlfn.XLOOKUP(C186,customers!$A$1:$A$1001,customers!$G$1:$G$1001,,0,1)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6">
        <f>INDEX(products!$A$1:$G$49,MATCH(orders!$D186,products!$A$1:$A$49,0),MATCH(orders!L$1,products!$A$1:$G$1,0))</f>
        <v>7.77</v>
      </c>
      <c r="M186" s="5">
        <f t="shared" si="6"/>
        <v>31.08</v>
      </c>
      <c r="N186" t="str">
        <f t="shared" si="7"/>
        <v>Arabica</v>
      </c>
      <c r="O186" t="str">
        <f t="shared" si="8"/>
        <v>Light</v>
      </c>
      <c r="P186" t="str">
        <f>_xlfn.XLOOKUP(Orders[[#This Row],[Customer ID]],customers!$A$1:$A$1001,customers!$I$1:$I$1001,"",0,1)</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IF(_xlfn.XLOOKUP(C187,customers!$A$1:$A$1001,customers!$C$1:$C$1001,,0,1)=0,"",(_xlfn.XLOOKUP(C187,customers!$A$1:$A$1001,customers!$C$1:$C$1001,,0,1)))</f>
        <v>arizzetti55@naver.com</v>
      </c>
      <c r="H187" s="2" t="str">
        <f>_xlfn.XLOOKUP(C187,customers!$A$1:$A$1001,customers!$G$1:$G$1001,,0,1)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6">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ID]],customers!$A$1:$A$1001,customers!$I$1:$I$1001,"",0,1)</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IF(_xlfn.XLOOKUP(C188,customers!$A$1:$A$1001,customers!$C$1:$C$1001,,0,1)=0,"",(_xlfn.XLOOKUP(C188,customers!$A$1:$A$1001,customers!$C$1:$C$1001,,0,1)))</f>
        <v>mmeriet56@noaa.gov</v>
      </c>
      <c r="H188" s="2" t="str">
        <f>_xlfn.XLOOKUP(C188,customers!$A$1:$A$1001,customers!$G$1:$G$1001,,0,1)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6">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ID]],customers!$A$1:$A$1001,customers!$I$1:$I$1001,"",0,1)</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IF(_xlfn.XLOOKUP(C189,customers!$A$1:$A$1001,customers!$C$1:$C$1001,,0,1)=0,"",(_xlfn.XLOOKUP(C189,customers!$A$1:$A$1001,customers!$C$1:$C$1001,,0,1)))</f>
        <v>lpratt57@netvibes.com</v>
      </c>
      <c r="H189" s="2" t="str">
        <f>_xlfn.XLOOKUP(C189,customers!$A$1:$A$1001,customers!$G$1:$G$1001,,0,1)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6">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ID]],customers!$A$1:$A$1001,customers!$I$1:$I$1001,"",0,1)</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IF(_xlfn.XLOOKUP(C190,customers!$A$1:$A$1001,customers!$C$1:$C$1001,,0,1)=0,"",(_xlfn.XLOOKUP(C190,customers!$A$1:$A$1001,customers!$C$1:$C$1001,,0,1)))</f>
        <v>akitchingham58@com.com</v>
      </c>
      <c r="H190" s="2" t="str">
        <f>_xlfn.XLOOKUP(C190,customers!$A$1:$A$1001,customers!$G$1:$G$1001,,0,1)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6">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ID]],customers!$A$1:$A$1001,customers!$I$1:$I$1001,"",0,1)</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IF(_xlfn.XLOOKUP(C191,customers!$A$1:$A$1001,customers!$C$1:$C$1001,,0,1)=0,"",(_xlfn.XLOOKUP(C191,customers!$A$1:$A$1001,customers!$C$1:$C$1001,,0,1)))</f>
        <v>bbartholin59@xinhuanet.com</v>
      </c>
      <c r="H191" s="2" t="str">
        <f>_xlfn.XLOOKUP(C191,customers!$A$1:$A$1001,customers!$G$1:$G$1001,,0,1)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6">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ID]],customers!$A$1:$A$1001,customers!$I$1:$I$1001,"",0,1)</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IF(_xlfn.XLOOKUP(C192,customers!$A$1:$A$1001,customers!$C$1:$C$1001,,0,1)=0,"",(_xlfn.XLOOKUP(C192,customers!$A$1:$A$1001,customers!$C$1:$C$1001,,0,1)))</f>
        <v>mprinn5a@usa.gov</v>
      </c>
      <c r="H192" s="2" t="str">
        <f>_xlfn.XLOOKUP(C192,customers!$A$1:$A$1001,customers!$G$1:$G$1001,,0,1)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6">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ID]],customers!$A$1:$A$1001,customers!$I$1:$I$1001,"",0,1)</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IF(_xlfn.XLOOKUP(C193,customers!$A$1:$A$1001,customers!$C$1:$C$1001,,0,1)=0,"",(_xlfn.XLOOKUP(C193,customers!$A$1:$A$1001,customers!$C$1:$C$1001,,0,1)))</f>
        <v>abaudino5b@netvibes.com</v>
      </c>
      <c r="H193" s="2" t="str">
        <f>_xlfn.XLOOKUP(C193,customers!$A$1:$A$1001,customers!$G$1:$G$1001,,0,1)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6">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ID]],customers!$A$1:$A$1001,customers!$I$1:$I$1001,"",0,1)</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IF(_xlfn.XLOOKUP(C194,customers!$A$1:$A$1001,customers!$C$1:$C$1001,,0,1)=0,"",(_xlfn.XLOOKUP(C194,customers!$A$1:$A$1001,customers!$C$1:$C$1001,,0,1)))</f>
        <v>ppetrushanko5c@blinklist.com</v>
      </c>
      <c r="H194" s="2" t="str">
        <f>_xlfn.XLOOKUP(C194,customers!$A$1:$A$1001,customers!$G$1:$G$1001,,0,1)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6">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ID]],customers!$A$1:$A$1001,customers!$I$1:$I$1001,"",0,1)</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IF(_xlfn.XLOOKUP(C195,customers!$A$1:$A$1001,customers!$C$1:$C$1001,,0,1)=0,"",(_xlfn.XLOOKUP(C195,customers!$A$1:$A$1001,customers!$C$1:$C$1001,,0,1)))</f>
        <v/>
      </c>
      <c r="H195" s="2" t="str">
        <f>_xlfn.XLOOKUP(C195,customers!$A$1:$A$1001,customers!$G$1:$G$1001,,0,1)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6">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ID]],customers!$A$1:$A$1001,customers!$I$1:$I$1001,"",0,1)</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IF(_xlfn.XLOOKUP(C196,customers!$A$1:$A$1001,customers!$C$1:$C$1001,,0,1)=0,"",(_xlfn.XLOOKUP(C196,customers!$A$1:$A$1001,customers!$C$1:$C$1001,,0,1)))</f>
        <v>elaird5e@bing.com</v>
      </c>
      <c r="H196" s="2" t="str">
        <f>_xlfn.XLOOKUP(C196,customers!$A$1:$A$1001,customers!$G$1:$G$1001,,0,1)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6">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ID]],customers!$A$1:$A$1001,customers!$I$1:$I$1001,"",0,1)</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IF(_xlfn.XLOOKUP(C197,customers!$A$1:$A$1001,customers!$C$1:$C$1001,,0,1)=0,"",(_xlfn.XLOOKUP(C197,customers!$A$1:$A$1001,customers!$C$1:$C$1001,,0,1)))</f>
        <v>mhowsden5f@infoseek.co.jp</v>
      </c>
      <c r="H197" s="2" t="str">
        <f>_xlfn.XLOOKUP(C197,customers!$A$1:$A$1001,customers!$G$1:$G$1001,,0,1)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6">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ID]],customers!$A$1:$A$1001,customers!$I$1:$I$1001,"",0,1)</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IF(_xlfn.XLOOKUP(C198,customers!$A$1:$A$1001,customers!$C$1:$C$1001,,0,1)=0,"",(_xlfn.XLOOKUP(C198,customers!$A$1:$A$1001,customers!$C$1:$C$1001,,0,1)))</f>
        <v>ncuttler5g@parallels.com</v>
      </c>
      <c r="H198" s="2" t="str">
        <f>_xlfn.XLOOKUP(C198,customers!$A$1:$A$1001,customers!$G$1:$G$1001,,0,1)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6">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ID]],customers!$A$1:$A$1001,customers!$I$1:$I$1001,"",0,1)</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IF(_xlfn.XLOOKUP(C199,customers!$A$1:$A$1001,customers!$C$1:$C$1001,,0,1)=0,"",(_xlfn.XLOOKUP(C199,customers!$A$1:$A$1001,customers!$C$1:$C$1001,,0,1)))</f>
        <v>ncuttler5g@parallels.com</v>
      </c>
      <c r="H199" s="2" t="str">
        <f>_xlfn.XLOOKUP(C199,customers!$A$1:$A$1001,customers!$G$1:$G$1001,,0,1)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6">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ID]],customers!$A$1:$A$1001,customers!$I$1:$I$1001,"",0,1)</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IF(_xlfn.XLOOKUP(C200,customers!$A$1:$A$1001,customers!$C$1:$C$1001,,0,1)=0,"",(_xlfn.XLOOKUP(C200,customers!$A$1:$A$1001,customers!$C$1:$C$1001,,0,1)))</f>
        <v>ncuttler5g@parallels.com</v>
      </c>
      <c r="H200" s="2" t="str">
        <f>_xlfn.XLOOKUP(C200,customers!$A$1:$A$1001,customers!$G$1:$G$1001,,0,1)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6">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ID]],customers!$A$1:$A$1001,customers!$I$1:$I$1001,"",0,1)</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IF(_xlfn.XLOOKUP(C201,customers!$A$1:$A$1001,customers!$C$1:$C$1001,,0,1)=0,"",(_xlfn.XLOOKUP(C201,customers!$A$1:$A$1001,customers!$C$1:$C$1001,,0,1)))</f>
        <v>ncuttler5g@parallels.com</v>
      </c>
      <c r="H201" s="2" t="str">
        <f>_xlfn.XLOOKUP(C201,customers!$A$1:$A$1001,customers!$G$1:$G$1001,,0,1)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6">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ID]],customers!$A$1:$A$1001,customers!$I$1:$I$1001,"",0,1)</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IF(_xlfn.XLOOKUP(C202,customers!$A$1:$A$1001,customers!$C$1:$C$1001,,0,1)=0,"",(_xlfn.XLOOKUP(C202,customers!$A$1:$A$1001,customers!$C$1:$C$1001,,0,1)))</f>
        <v>ncuttler5g@parallels.com</v>
      </c>
      <c r="H202" s="2" t="str">
        <f>_xlfn.XLOOKUP(C202,customers!$A$1:$A$1001,customers!$G$1:$G$1001,,0,1)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6">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ID]],customers!$A$1:$A$1001,customers!$I$1:$I$1001,"",0,1)</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IF(_xlfn.XLOOKUP(C203,customers!$A$1:$A$1001,customers!$C$1:$C$1001,,0,1)=0,"",(_xlfn.XLOOKUP(C203,customers!$A$1:$A$1001,customers!$C$1:$C$1001,,0,1)))</f>
        <v/>
      </c>
      <c r="H203" s="2" t="str">
        <f>_xlfn.XLOOKUP(C203,customers!$A$1:$A$1001,customers!$G$1:$G$1001,,0,1)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6">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ID]],customers!$A$1:$A$1001,customers!$I$1:$I$1001,"",0,1)</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IF(_xlfn.XLOOKUP(C204,customers!$A$1:$A$1001,customers!$C$1:$C$1001,,0,1)=0,"",(_xlfn.XLOOKUP(C204,customers!$A$1:$A$1001,customers!$C$1:$C$1001,,0,1)))</f>
        <v>tfelip5m@typepad.com</v>
      </c>
      <c r="H204" s="2" t="str">
        <f>_xlfn.XLOOKUP(C204,customers!$A$1:$A$1001,customers!$G$1:$G$1001,,0,1)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6">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ID]],customers!$A$1:$A$1001,customers!$I$1:$I$1001,"",0,1)</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IF(_xlfn.XLOOKUP(C205,customers!$A$1:$A$1001,customers!$C$1:$C$1001,,0,1)=0,"",(_xlfn.XLOOKUP(C205,customers!$A$1:$A$1001,customers!$C$1:$C$1001,,0,1)))</f>
        <v>vle5n@disqus.com</v>
      </c>
      <c r="H205" s="2" t="str">
        <f>_xlfn.XLOOKUP(C205,customers!$A$1:$A$1001,customers!$G$1:$G$1001,,0,1)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6">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ID]],customers!$A$1:$A$1001,customers!$I$1:$I$1001,"",0,1)</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IF(_xlfn.XLOOKUP(C206,customers!$A$1:$A$1001,customers!$C$1:$C$1001,,0,1)=0,"",(_xlfn.XLOOKUP(C206,customers!$A$1:$A$1001,customers!$C$1:$C$1001,,0,1)))</f>
        <v/>
      </c>
      <c r="H206" s="2" t="str">
        <f>_xlfn.XLOOKUP(C206,customers!$A$1:$A$1001,customers!$G$1:$G$1001,,0,1)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6">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ID]],customers!$A$1:$A$1001,customers!$I$1:$I$1001,"",0,1)</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IF(_xlfn.XLOOKUP(C207,customers!$A$1:$A$1001,customers!$C$1:$C$1001,,0,1)=0,"",(_xlfn.XLOOKUP(C207,customers!$A$1:$A$1001,customers!$C$1:$C$1001,,0,1)))</f>
        <v/>
      </c>
      <c r="H207" s="2" t="str">
        <f>_xlfn.XLOOKUP(C207,customers!$A$1:$A$1001,customers!$G$1:$G$1001,,0,1)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6">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ID]],customers!$A$1:$A$1001,customers!$I$1:$I$1001,"",0,1)</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IF(_xlfn.XLOOKUP(C208,customers!$A$1:$A$1001,customers!$C$1:$C$1001,,0,1)=0,"",(_xlfn.XLOOKUP(C208,customers!$A$1:$A$1001,customers!$C$1:$C$1001,,0,1)))</f>
        <v>npoolman5q@howstuffworks.com</v>
      </c>
      <c r="H208" s="2" t="str">
        <f>_xlfn.XLOOKUP(C208,customers!$A$1:$A$1001,customers!$G$1:$G$1001,,0,1)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6">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ID]],customers!$A$1:$A$1001,customers!$I$1:$I$1001,"",0,1)</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IF(_xlfn.XLOOKUP(C209,customers!$A$1:$A$1001,customers!$C$1:$C$1001,,0,1)=0,"",(_xlfn.XLOOKUP(C209,customers!$A$1:$A$1001,customers!$C$1:$C$1001,,0,1)))</f>
        <v>oduny5r@constantcontact.com</v>
      </c>
      <c r="H209" s="2" t="str">
        <f>_xlfn.XLOOKUP(C209,customers!$A$1:$A$1001,customers!$G$1:$G$1001,,0,1)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6">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ID]],customers!$A$1:$A$1001,customers!$I$1:$I$1001,"",0,1)</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IF(_xlfn.XLOOKUP(C210,customers!$A$1:$A$1001,customers!$C$1:$C$1001,,0,1)=0,"",(_xlfn.XLOOKUP(C210,customers!$A$1:$A$1001,customers!$C$1:$C$1001,,0,1)))</f>
        <v>chalfhide5s@google.ru</v>
      </c>
      <c r="H210" s="2" t="str">
        <f>_xlfn.XLOOKUP(C210,customers!$A$1:$A$1001,customers!$G$1:$G$1001,,0,1)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6">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ID]],customers!$A$1:$A$1001,customers!$I$1:$I$1001,"",0,1)</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IF(_xlfn.XLOOKUP(C211,customers!$A$1:$A$1001,customers!$C$1:$C$1001,,0,1)=0,"",(_xlfn.XLOOKUP(C211,customers!$A$1:$A$1001,customers!$C$1:$C$1001,,0,1)))</f>
        <v>fmalecky5t@list-manage.com</v>
      </c>
      <c r="H211" s="2" t="str">
        <f>_xlfn.XLOOKUP(C211,customers!$A$1:$A$1001,customers!$G$1:$G$1001,,0,1)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6">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ID]],customers!$A$1:$A$1001,customers!$I$1:$I$1001,"",0,1)</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IF(_xlfn.XLOOKUP(C212,customers!$A$1:$A$1001,customers!$C$1:$C$1001,,0,1)=0,"",(_xlfn.XLOOKUP(C212,customers!$A$1:$A$1001,customers!$C$1:$C$1001,,0,1)))</f>
        <v>aattwater5u@wikia.com</v>
      </c>
      <c r="H212" s="2" t="str">
        <f>_xlfn.XLOOKUP(C212,customers!$A$1:$A$1001,customers!$G$1:$G$1001,,0,1)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6">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ID]],customers!$A$1:$A$1001,customers!$I$1:$I$1001,"",0,1)</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IF(_xlfn.XLOOKUP(C213,customers!$A$1:$A$1001,customers!$C$1:$C$1001,,0,1)=0,"",(_xlfn.XLOOKUP(C213,customers!$A$1:$A$1001,customers!$C$1:$C$1001,,0,1)))</f>
        <v>mwhellans5v@mapquest.com</v>
      </c>
      <c r="H213" s="2" t="str">
        <f>_xlfn.XLOOKUP(C213,customers!$A$1:$A$1001,customers!$G$1:$G$1001,,0,1)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6">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ID]],customers!$A$1:$A$1001,customers!$I$1:$I$1001,"",0,1)</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IF(_xlfn.XLOOKUP(C214,customers!$A$1:$A$1001,customers!$C$1:$C$1001,,0,1)=0,"",(_xlfn.XLOOKUP(C214,customers!$A$1:$A$1001,customers!$C$1:$C$1001,,0,1)))</f>
        <v>dcamilletti5w@businesswire.com</v>
      </c>
      <c r="H214" s="2" t="str">
        <f>_xlfn.XLOOKUP(C214,customers!$A$1:$A$1001,customers!$G$1:$G$1001,,0,1)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6">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ID]],customers!$A$1:$A$1001,customers!$I$1:$I$1001,"",0,1)</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IF(_xlfn.XLOOKUP(C215,customers!$A$1:$A$1001,customers!$C$1:$C$1001,,0,1)=0,"",(_xlfn.XLOOKUP(C215,customers!$A$1:$A$1001,customers!$C$1:$C$1001,,0,1)))</f>
        <v>egalgey5x@wufoo.com</v>
      </c>
      <c r="H215" s="2" t="str">
        <f>_xlfn.XLOOKUP(C215,customers!$A$1:$A$1001,customers!$G$1:$G$1001,,0,1)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6">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ID]],customers!$A$1:$A$1001,customers!$I$1:$I$1001,"",0,1)</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IF(_xlfn.XLOOKUP(C216,customers!$A$1:$A$1001,customers!$C$1:$C$1001,,0,1)=0,"",(_xlfn.XLOOKUP(C216,customers!$A$1:$A$1001,customers!$C$1:$C$1001,,0,1)))</f>
        <v>mhame5y@newsvine.com</v>
      </c>
      <c r="H216" s="2" t="str">
        <f>_xlfn.XLOOKUP(C216,customers!$A$1:$A$1001,customers!$G$1:$G$1001,,0,1)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6">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ID]],customers!$A$1:$A$1001,customers!$I$1:$I$1001,"",0,1)</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IF(_xlfn.XLOOKUP(C217,customers!$A$1:$A$1001,customers!$C$1:$C$1001,,0,1)=0,"",(_xlfn.XLOOKUP(C217,customers!$A$1:$A$1001,customers!$C$1:$C$1001,,0,1)))</f>
        <v>igurnee5z@usnews.com</v>
      </c>
      <c r="H217" s="2" t="str">
        <f>_xlfn.XLOOKUP(C217,customers!$A$1:$A$1001,customers!$G$1:$G$1001,,0,1)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6">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ID]],customers!$A$1:$A$1001,customers!$I$1:$I$1001,"",0,1)</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IF(_xlfn.XLOOKUP(C218,customers!$A$1:$A$1001,customers!$C$1:$C$1001,,0,1)=0,"",(_xlfn.XLOOKUP(C218,customers!$A$1:$A$1001,customers!$C$1:$C$1001,,0,1)))</f>
        <v>asnowding60@comsenz.com</v>
      </c>
      <c r="H218" s="2" t="str">
        <f>_xlfn.XLOOKUP(C218,customers!$A$1:$A$1001,customers!$G$1:$G$1001,,0,1)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6">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ID]],customers!$A$1:$A$1001,customers!$I$1:$I$1001,"",0,1)</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IF(_xlfn.XLOOKUP(C219,customers!$A$1:$A$1001,customers!$C$1:$C$1001,,0,1)=0,"",(_xlfn.XLOOKUP(C219,customers!$A$1:$A$1001,customers!$C$1:$C$1001,,0,1)))</f>
        <v>gpoinsett61@berkeley.edu</v>
      </c>
      <c r="H219" s="2" t="str">
        <f>_xlfn.XLOOKUP(C219,customers!$A$1:$A$1001,customers!$G$1:$G$1001,,0,1)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6">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ID]],customers!$A$1:$A$1001,customers!$I$1:$I$1001,"",0,1)</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IF(_xlfn.XLOOKUP(C220,customers!$A$1:$A$1001,customers!$C$1:$C$1001,,0,1)=0,"",(_xlfn.XLOOKUP(C220,customers!$A$1:$A$1001,customers!$C$1:$C$1001,,0,1)))</f>
        <v>rfurman62@t.co</v>
      </c>
      <c r="H220" s="2" t="str">
        <f>_xlfn.XLOOKUP(C220,customers!$A$1:$A$1001,customers!$G$1:$G$1001,,0,1)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6">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ID]],customers!$A$1:$A$1001,customers!$I$1:$I$1001,"",0,1)</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IF(_xlfn.XLOOKUP(C221,customers!$A$1:$A$1001,customers!$C$1:$C$1001,,0,1)=0,"",(_xlfn.XLOOKUP(C221,customers!$A$1:$A$1001,customers!$C$1:$C$1001,,0,1)))</f>
        <v>ccrosier63@xrea.com</v>
      </c>
      <c r="H221" s="2" t="str">
        <f>_xlfn.XLOOKUP(C221,customers!$A$1:$A$1001,customers!$G$1:$G$1001,,0,1)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6">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ID]],customers!$A$1:$A$1001,customers!$I$1:$I$1001,"",0,1)</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IF(_xlfn.XLOOKUP(C222,customers!$A$1:$A$1001,customers!$C$1:$C$1001,,0,1)=0,"",(_xlfn.XLOOKUP(C222,customers!$A$1:$A$1001,customers!$C$1:$C$1001,,0,1)))</f>
        <v>ccrosier63@xrea.com</v>
      </c>
      <c r="H222" s="2" t="str">
        <f>_xlfn.XLOOKUP(C222,customers!$A$1:$A$1001,customers!$G$1:$G$1001,,0,1)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6">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ID]],customers!$A$1:$A$1001,customers!$I$1:$I$1001,"",0,1)</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IF(_xlfn.XLOOKUP(C223,customers!$A$1:$A$1001,customers!$C$1:$C$1001,,0,1)=0,"",(_xlfn.XLOOKUP(C223,customers!$A$1:$A$1001,customers!$C$1:$C$1001,,0,1)))</f>
        <v>lrushmer65@europa.eu</v>
      </c>
      <c r="H223" s="2" t="str">
        <f>_xlfn.XLOOKUP(C223,customers!$A$1:$A$1001,customers!$G$1:$G$1001,,0,1)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6">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ID]],customers!$A$1:$A$1001,customers!$I$1:$I$1001,"",0,1)</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IF(_xlfn.XLOOKUP(C224,customers!$A$1:$A$1001,customers!$C$1:$C$1001,,0,1)=0,"",(_xlfn.XLOOKUP(C224,customers!$A$1:$A$1001,customers!$C$1:$C$1001,,0,1)))</f>
        <v>wedinborough66@github.io</v>
      </c>
      <c r="H224" s="2" t="str">
        <f>_xlfn.XLOOKUP(C224,customers!$A$1:$A$1001,customers!$G$1:$G$1001,,0,1)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6">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ID]],customers!$A$1:$A$1001,customers!$I$1:$I$1001,"",0,1)</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IF(_xlfn.XLOOKUP(C225,customers!$A$1:$A$1001,customers!$C$1:$C$1001,,0,1)=0,"",(_xlfn.XLOOKUP(C225,customers!$A$1:$A$1001,customers!$C$1:$C$1001,,0,1)))</f>
        <v/>
      </c>
      <c r="H225" s="2" t="str">
        <f>_xlfn.XLOOKUP(C225,customers!$A$1:$A$1001,customers!$G$1:$G$1001,,0,1)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6">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ID]],customers!$A$1:$A$1001,customers!$I$1:$I$1001,"",0,1)</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IF(_xlfn.XLOOKUP(C226,customers!$A$1:$A$1001,customers!$C$1:$C$1001,,0,1)=0,"",(_xlfn.XLOOKUP(C226,customers!$A$1:$A$1001,customers!$C$1:$C$1001,,0,1)))</f>
        <v>kbromehead68@un.org</v>
      </c>
      <c r="H226" s="2" t="str">
        <f>_xlfn.XLOOKUP(C226,customers!$A$1:$A$1001,customers!$G$1:$G$1001,,0,1)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6">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ID]],customers!$A$1:$A$1001,customers!$I$1:$I$1001,"",0,1)</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IF(_xlfn.XLOOKUP(C227,customers!$A$1:$A$1001,customers!$C$1:$C$1001,,0,1)=0,"",(_xlfn.XLOOKUP(C227,customers!$A$1:$A$1001,customers!$C$1:$C$1001,,0,1)))</f>
        <v>ewesterman69@si.edu</v>
      </c>
      <c r="H227" s="2" t="str">
        <f>_xlfn.XLOOKUP(C227,customers!$A$1:$A$1001,customers!$G$1:$G$1001,,0,1)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6">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ID]],customers!$A$1:$A$1001,customers!$I$1:$I$1001,"",0,1)</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IF(_xlfn.XLOOKUP(C228,customers!$A$1:$A$1001,customers!$C$1:$C$1001,,0,1)=0,"",(_xlfn.XLOOKUP(C228,customers!$A$1:$A$1001,customers!$C$1:$C$1001,,0,1)))</f>
        <v>ahutchens6a@amazonaws.com</v>
      </c>
      <c r="H228" s="2" t="str">
        <f>_xlfn.XLOOKUP(C228,customers!$A$1:$A$1001,customers!$G$1:$G$1001,,0,1)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6">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ID]],customers!$A$1:$A$1001,customers!$I$1:$I$1001,"",0,1)</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IF(_xlfn.XLOOKUP(C229,customers!$A$1:$A$1001,customers!$C$1:$C$1001,,0,1)=0,"",(_xlfn.XLOOKUP(C229,customers!$A$1:$A$1001,customers!$C$1:$C$1001,,0,1)))</f>
        <v>nwyvill6b@naver.com</v>
      </c>
      <c r="H229" s="2" t="str">
        <f>_xlfn.XLOOKUP(C229,customers!$A$1:$A$1001,customers!$G$1:$G$1001,,0,1)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6">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ID]],customers!$A$1:$A$1001,customers!$I$1:$I$1001,"",0,1)</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IF(_xlfn.XLOOKUP(C230,customers!$A$1:$A$1001,customers!$C$1:$C$1001,,0,1)=0,"",(_xlfn.XLOOKUP(C230,customers!$A$1:$A$1001,customers!$C$1:$C$1001,,0,1)))</f>
        <v>bmathon6c@barnesandnoble.com</v>
      </c>
      <c r="H230" s="2" t="str">
        <f>_xlfn.XLOOKUP(C230,customers!$A$1:$A$1001,customers!$G$1:$G$1001,,0,1)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6">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ID]],customers!$A$1:$A$1001,customers!$I$1:$I$1001,"",0,1)</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IF(_xlfn.XLOOKUP(C231,customers!$A$1:$A$1001,customers!$C$1:$C$1001,,0,1)=0,"",(_xlfn.XLOOKUP(C231,customers!$A$1:$A$1001,customers!$C$1:$C$1001,,0,1)))</f>
        <v>kstreight6d@about.com</v>
      </c>
      <c r="H231" s="2" t="str">
        <f>_xlfn.XLOOKUP(C231,customers!$A$1:$A$1001,customers!$G$1:$G$1001,,0,1)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6">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ID]],customers!$A$1:$A$1001,customers!$I$1:$I$1001,"",0,1)</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IF(_xlfn.XLOOKUP(C232,customers!$A$1:$A$1001,customers!$C$1:$C$1001,,0,1)=0,"",(_xlfn.XLOOKUP(C232,customers!$A$1:$A$1001,customers!$C$1:$C$1001,,0,1)))</f>
        <v>pcutchie6e@globo.com</v>
      </c>
      <c r="H232" s="2" t="str">
        <f>_xlfn.XLOOKUP(C232,customers!$A$1:$A$1001,customers!$G$1:$G$1001,,0,1)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6">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ID]],customers!$A$1:$A$1001,customers!$I$1:$I$1001,"",0,1)</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IF(_xlfn.XLOOKUP(C233,customers!$A$1:$A$1001,customers!$C$1:$C$1001,,0,1)=0,"",(_xlfn.XLOOKUP(C233,customers!$A$1:$A$1001,customers!$C$1:$C$1001,,0,1)))</f>
        <v/>
      </c>
      <c r="H233" s="2" t="str">
        <f>_xlfn.XLOOKUP(C233,customers!$A$1:$A$1001,customers!$G$1:$G$1001,,0,1)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6">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ID]],customers!$A$1:$A$1001,customers!$I$1:$I$1001,"",0,1)</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IF(_xlfn.XLOOKUP(C234,customers!$A$1:$A$1001,customers!$C$1:$C$1001,,0,1)=0,"",(_xlfn.XLOOKUP(C234,customers!$A$1:$A$1001,customers!$C$1:$C$1001,,0,1)))</f>
        <v>cgheraldi6g@opera.com</v>
      </c>
      <c r="H234" s="2" t="str">
        <f>_xlfn.XLOOKUP(C234,customers!$A$1:$A$1001,customers!$G$1:$G$1001,,0,1)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6">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ID]],customers!$A$1:$A$1001,customers!$I$1:$I$1001,"",0,1)</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IF(_xlfn.XLOOKUP(C235,customers!$A$1:$A$1001,customers!$C$1:$C$1001,,0,1)=0,"",(_xlfn.XLOOKUP(C235,customers!$A$1:$A$1001,customers!$C$1:$C$1001,,0,1)))</f>
        <v>bkenwell6h@over-blog.com</v>
      </c>
      <c r="H235" s="2" t="str">
        <f>_xlfn.XLOOKUP(C235,customers!$A$1:$A$1001,customers!$G$1:$G$1001,,0,1)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6">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ID]],customers!$A$1:$A$1001,customers!$I$1:$I$1001,"",0,1)</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IF(_xlfn.XLOOKUP(C236,customers!$A$1:$A$1001,customers!$C$1:$C$1001,,0,1)=0,"",(_xlfn.XLOOKUP(C236,customers!$A$1:$A$1001,customers!$C$1:$C$1001,,0,1)))</f>
        <v>tsutty6i@google.es</v>
      </c>
      <c r="H236" s="2" t="str">
        <f>_xlfn.XLOOKUP(C236,customers!$A$1:$A$1001,customers!$G$1:$G$1001,,0,1)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6">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ID]],customers!$A$1:$A$1001,customers!$I$1:$I$1001,"",0,1)</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IF(_xlfn.XLOOKUP(C237,customers!$A$1:$A$1001,customers!$C$1:$C$1001,,0,1)=0,"",(_xlfn.XLOOKUP(C237,customers!$A$1:$A$1001,customers!$C$1:$C$1001,,0,1)))</f>
        <v/>
      </c>
      <c r="H237" s="2" t="str">
        <f>_xlfn.XLOOKUP(C237,customers!$A$1:$A$1001,customers!$G$1:$G$1001,,0,1)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6">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ID]],customers!$A$1:$A$1001,customers!$I$1:$I$1001,"",0,1)</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IF(_xlfn.XLOOKUP(C238,customers!$A$1:$A$1001,customers!$C$1:$C$1001,,0,1)=0,"",(_xlfn.XLOOKUP(C238,customers!$A$1:$A$1001,customers!$C$1:$C$1001,,0,1)))</f>
        <v>charce6k@cafepress.com</v>
      </c>
      <c r="H238" s="2" t="str">
        <f>_xlfn.XLOOKUP(C238,customers!$A$1:$A$1001,customers!$G$1:$G$1001,,0,1)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6">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ID]],customers!$A$1:$A$1001,customers!$I$1:$I$1001,"",0,1)</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IF(_xlfn.XLOOKUP(C239,customers!$A$1:$A$1001,customers!$C$1:$C$1001,,0,1)=0,"",(_xlfn.XLOOKUP(C239,customers!$A$1:$A$1001,customers!$C$1:$C$1001,,0,1)))</f>
        <v/>
      </c>
      <c r="H239" s="2" t="str">
        <f>_xlfn.XLOOKUP(C239,customers!$A$1:$A$1001,customers!$G$1:$G$1001,,0,1)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6">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ID]],customers!$A$1:$A$1001,customers!$I$1:$I$1001,"",0,1)</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IF(_xlfn.XLOOKUP(C240,customers!$A$1:$A$1001,customers!$C$1:$C$1001,,0,1)=0,"",(_xlfn.XLOOKUP(C240,customers!$A$1:$A$1001,customers!$C$1:$C$1001,,0,1)))</f>
        <v>fdrysdale6m@symantec.com</v>
      </c>
      <c r="H240" s="2" t="str">
        <f>_xlfn.XLOOKUP(C240,customers!$A$1:$A$1001,customers!$G$1:$G$1001,,0,1)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6">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ID]],customers!$A$1:$A$1001,customers!$I$1:$I$1001,"",0,1)</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IF(_xlfn.XLOOKUP(C241,customers!$A$1:$A$1001,customers!$C$1:$C$1001,,0,1)=0,"",(_xlfn.XLOOKUP(C241,customers!$A$1:$A$1001,customers!$C$1:$C$1001,,0,1)))</f>
        <v>dmagowan6n@fc2.com</v>
      </c>
      <c r="H241" s="2" t="str">
        <f>_xlfn.XLOOKUP(C241,customers!$A$1:$A$1001,customers!$G$1:$G$1001,,0,1)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6">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ID]],customers!$A$1:$A$1001,customers!$I$1:$I$1001,"",0,1)</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IF(_xlfn.XLOOKUP(C242,customers!$A$1:$A$1001,customers!$C$1:$C$1001,,0,1)=0,"",(_xlfn.XLOOKUP(C242,customers!$A$1:$A$1001,customers!$C$1:$C$1001,,0,1)))</f>
        <v/>
      </c>
      <c r="H242" s="2" t="str">
        <f>_xlfn.XLOOKUP(C242,customers!$A$1:$A$1001,customers!$G$1:$G$1001,,0,1)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6">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ID]],customers!$A$1:$A$1001,customers!$I$1:$I$1001,"",0,1)</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IF(_xlfn.XLOOKUP(C243,customers!$A$1:$A$1001,customers!$C$1:$C$1001,,0,1)=0,"",(_xlfn.XLOOKUP(C243,customers!$A$1:$A$1001,customers!$C$1:$C$1001,,0,1)))</f>
        <v/>
      </c>
      <c r="H243" s="2" t="str">
        <f>_xlfn.XLOOKUP(C243,customers!$A$1:$A$1001,customers!$G$1:$G$1001,,0,1)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6">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ID]],customers!$A$1:$A$1001,customers!$I$1:$I$1001,"",0,1)</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IF(_xlfn.XLOOKUP(C244,customers!$A$1:$A$1001,customers!$C$1:$C$1001,,0,1)=0,"",(_xlfn.XLOOKUP(C244,customers!$A$1:$A$1001,customers!$C$1:$C$1001,,0,1)))</f>
        <v>srushbrooke6q@youku.com</v>
      </c>
      <c r="H244" s="2" t="str">
        <f>_xlfn.XLOOKUP(C244,customers!$A$1:$A$1001,customers!$G$1:$G$1001,,0,1)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6">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ID]],customers!$A$1:$A$1001,customers!$I$1:$I$1001,"",0,1)</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IF(_xlfn.XLOOKUP(C245,customers!$A$1:$A$1001,customers!$C$1:$C$1001,,0,1)=0,"",(_xlfn.XLOOKUP(C245,customers!$A$1:$A$1001,customers!$C$1:$C$1001,,0,1)))</f>
        <v>tdrynan6r@deviantart.com</v>
      </c>
      <c r="H245" s="2" t="str">
        <f>_xlfn.XLOOKUP(C245,customers!$A$1:$A$1001,customers!$G$1:$G$1001,,0,1)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6">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ID]],customers!$A$1:$A$1001,customers!$I$1:$I$1001,"",0,1)</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IF(_xlfn.XLOOKUP(C246,customers!$A$1:$A$1001,customers!$C$1:$C$1001,,0,1)=0,"",(_xlfn.XLOOKUP(C246,customers!$A$1:$A$1001,customers!$C$1:$C$1001,,0,1)))</f>
        <v>eyurkov6s@hud.gov</v>
      </c>
      <c r="H246" s="2" t="str">
        <f>_xlfn.XLOOKUP(C246,customers!$A$1:$A$1001,customers!$G$1:$G$1001,,0,1)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6">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ID]],customers!$A$1:$A$1001,customers!$I$1:$I$1001,"",0,1)</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IF(_xlfn.XLOOKUP(C247,customers!$A$1:$A$1001,customers!$C$1:$C$1001,,0,1)=0,"",(_xlfn.XLOOKUP(C247,customers!$A$1:$A$1001,customers!$C$1:$C$1001,,0,1)))</f>
        <v>lmallan6t@state.gov</v>
      </c>
      <c r="H247" s="2" t="str">
        <f>_xlfn.XLOOKUP(C247,customers!$A$1:$A$1001,customers!$G$1:$G$1001,,0,1)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6">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ID]],customers!$A$1:$A$1001,customers!$I$1:$I$1001,"",0,1)</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IF(_xlfn.XLOOKUP(C248,customers!$A$1:$A$1001,customers!$C$1:$C$1001,,0,1)=0,"",(_xlfn.XLOOKUP(C248,customers!$A$1:$A$1001,customers!$C$1:$C$1001,,0,1)))</f>
        <v>gbentjens6u@netlog.com</v>
      </c>
      <c r="H248" s="2" t="str">
        <f>_xlfn.XLOOKUP(C248,customers!$A$1:$A$1001,customers!$G$1:$G$1001,,0,1)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6">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ID]],customers!$A$1:$A$1001,customers!$I$1:$I$1001,"",0,1)</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IF(_xlfn.XLOOKUP(C249,customers!$A$1:$A$1001,customers!$C$1:$C$1001,,0,1)=0,"",(_xlfn.XLOOKUP(C249,customers!$A$1:$A$1001,customers!$C$1:$C$1001,,0,1)))</f>
        <v/>
      </c>
      <c r="H249" s="2" t="str">
        <f>_xlfn.XLOOKUP(C249,customers!$A$1:$A$1001,customers!$G$1:$G$1001,,0,1)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6">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ID]],customers!$A$1:$A$1001,customers!$I$1:$I$1001,"",0,1)</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IF(_xlfn.XLOOKUP(C250,customers!$A$1:$A$1001,customers!$C$1:$C$1001,,0,1)=0,"",(_xlfn.XLOOKUP(C250,customers!$A$1:$A$1001,customers!$C$1:$C$1001,,0,1)))</f>
        <v>lentwistle6w@omniture.com</v>
      </c>
      <c r="H250" s="2" t="str">
        <f>_xlfn.XLOOKUP(C250,customers!$A$1:$A$1001,customers!$G$1:$G$1001,,0,1)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6">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ID]],customers!$A$1:$A$1001,customers!$I$1:$I$1001,"",0,1)</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IF(_xlfn.XLOOKUP(C251,customers!$A$1:$A$1001,customers!$C$1:$C$1001,,0,1)=0,"",(_xlfn.XLOOKUP(C251,customers!$A$1:$A$1001,customers!$C$1:$C$1001,,0,1)))</f>
        <v>zkiffe74@cyberchimps.com</v>
      </c>
      <c r="H251" s="2" t="str">
        <f>_xlfn.XLOOKUP(C251,customers!$A$1:$A$1001,customers!$G$1:$G$1001,,0,1)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6">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ID]],customers!$A$1:$A$1001,customers!$I$1:$I$1001,"",0,1)</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IF(_xlfn.XLOOKUP(C252,customers!$A$1:$A$1001,customers!$C$1:$C$1001,,0,1)=0,"",(_xlfn.XLOOKUP(C252,customers!$A$1:$A$1001,customers!$C$1:$C$1001,,0,1)))</f>
        <v>macott6y@pagesperso-orange.fr</v>
      </c>
      <c r="H252" s="2" t="str">
        <f>_xlfn.XLOOKUP(C252,customers!$A$1:$A$1001,customers!$G$1:$G$1001,,0,1)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6">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ID]],customers!$A$1:$A$1001,customers!$I$1:$I$1001,"",0,1)</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IF(_xlfn.XLOOKUP(C253,customers!$A$1:$A$1001,customers!$C$1:$C$1001,,0,1)=0,"",(_xlfn.XLOOKUP(C253,customers!$A$1:$A$1001,customers!$C$1:$C$1001,,0,1)))</f>
        <v>cheaviside6z@rediff.com</v>
      </c>
      <c r="H253" s="2" t="str">
        <f>_xlfn.XLOOKUP(C253,customers!$A$1:$A$1001,customers!$G$1:$G$1001,,0,1)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6">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ID]],customers!$A$1:$A$1001,customers!$I$1:$I$1001,"",0,1)</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IF(_xlfn.XLOOKUP(C254,customers!$A$1:$A$1001,customers!$C$1:$C$1001,,0,1)=0,"",(_xlfn.XLOOKUP(C254,customers!$A$1:$A$1001,customers!$C$1:$C$1001,,0,1)))</f>
        <v/>
      </c>
      <c r="H254" s="2" t="str">
        <f>_xlfn.XLOOKUP(C254,customers!$A$1:$A$1001,customers!$G$1:$G$1001,,0,1)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6">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ID]],customers!$A$1:$A$1001,customers!$I$1:$I$1001,"",0,1)</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IF(_xlfn.XLOOKUP(C255,customers!$A$1:$A$1001,customers!$C$1:$C$1001,,0,1)=0,"",(_xlfn.XLOOKUP(C255,customers!$A$1:$A$1001,customers!$C$1:$C$1001,,0,1)))</f>
        <v>lkernan71@wsj.com</v>
      </c>
      <c r="H255" s="2" t="str">
        <f>_xlfn.XLOOKUP(C255,customers!$A$1:$A$1001,customers!$G$1:$G$1001,,0,1)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6">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ID]],customers!$A$1:$A$1001,customers!$I$1:$I$1001,"",0,1)</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IF(_xlfn.XLOOKUP(C256,customers!$A$1:$A$1001,customers!$C$1:$C$1001,,0,1)=0,"",(_xlfn.XLOOKUP(C256,customers!$A$1:$A$1001,customers!$C$1:$C$1001,,0,1)))</f>
        <v>rmclae72@dailymotion.com</v>
      </c>
      <c r="H256" s="2" t="str">
        <f>_xlfn.XLOOKUP(C256,customers!$A$1:$A$1001,customers!$G$1:$G$1001,,0,1)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6">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ID]],customers!$A$1:$A$1001,customers!$I$1:$I$1001,"",0,1)</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IF(_xlfn.XLOOKUP(C257,customers!$A$1:$A$1001,customers!$C$1:$C$1001,,0,1)=0,"",(_xlfn.XLOOKUP(C257,customers!$A$1:$A$1001,customers!$C$1:$C$1001,,0,1)))</f>
        <v>cblowfelde73@ustream.tv</v>
      </c>
      <c r="H257" s="2" t="str">
        <f>_xlfn.XLOOKUP(C257,customers!$A$1:$A$1001,customers!$G$1:$G$1001,,0,1)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6">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ID]],customers!$A$1:$A$1001,customers!$I$1:$I$1001,"",0,1)</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IF(_xlfn.XLOOKUP(C258,customers!$A$1:$A$1001,customers!$C$1:$C$1001,,0,1)=0,"",(_xlfn.XLOOKUP(C258,customers!$A$1:$A$1001,customers!$C$1:$C$1001,,0,1)))</f>
        <v>zkiffe74@cyberchimps.com</v>
      </c>
      <c r="H258" s="2" t="str">
        <f>_xlfn.XLOOKUP(C258,customers!$A$1:$A$1001,customers!$G$1:$G$1001,,0,1)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6">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ID]],customers!$A$1:$A$1001,customers!$I$1:$I$1001,"",0,1)</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IF(_xlfn.XLOOKUP(C259,customers!$A$1:$A$1001,customers!$C$1:$C$1001,,0,1)=0,"",(_xlfn.XLOOKUP(C259,customers!$A$1:$A$1001,customers!$C$1:$C$1001,,0,1)))</f>
        <v>docalleran75@ucla.edu</v>
      </c>
      <c r="H259" s="2" t="str">
        <f>_xlfn.XLOOKUP(C259,customers!$A$1:$A$1001,customers!$G$1:$G$1001,,0,1)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6">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ID]],customers!$A$1:$A$1001,customers!$I$1:$I$1001,"",0,1)</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IF(_xlfn.XLOOKUP(C260,customers!$A$1:$A$1001,customers!$C$1:$C$1001,,0,1)=0,"",(_xlfn.XLOOKUP(C260,customers!$A$1:$A$1001,customers!$C$1:$C$1001,,0,1)))</f>
        <v>ccromwell76@desdev.cn</v>
      </c>
      <c r="H260" s="2" t="str">
        <f>_xlfn.XLOOKUP(C260,customers!$A$1:$A$1001,customers!$G$1:$G$1001,,0,1)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6">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ID]],customers!$A$1:$A$1001,customers!$I$1:$I$1001,"",0,1)</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IF(_xlfn.XLOOKUP(C261,customers!$A$1:$A$1001,customers!$C$1:$C$1001,,0,1)=0,"",(_xlfn.XLOOKUP(C261,customers!$A$1:$A$1001,customers!$C$1:$C$1001,,0,1)))</f>
        <v>ihay77@lulu.com</v>
      </c>
      <c r="H261" s="2" t="str">
        <f>_xlfn.XLOOKUP(C261,customers!$A$1:$A$1001,customers!$G$1:$G$1001,,0,1)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6">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ID]],customers!$A$1:$A$1001,customers!$I$1:$I$1001,"",0,1)</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IF(_xlfn.XLOOKUP(C262,customers!$A$1:$A$1001,customers!$C$1:$C$1001,,0,1)=0,"",(_xlfn.XLOOKUP(C262,customers!$A$1:$A$1001,customers!$C$1:$C$1001,,0,1)))</f>
        <v>ttaffarello78@sciencedaily.com</v>
      </c>
      <c r="H262" s="2" t="str">
        <f>_xlfn.XLOOKUP(C262,customers!$A$1:$A$1001,customers!$G$1:$G$1001,,0,1)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6">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ID]],customers!$A$1:$A$1001,customers!$I$1:$I$1001,"",0,1)</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IF(_xlfn.XLOOKUP(C263,customers!$A$1:$A$1001,customers!$C$1:$C$1001,,0,1)=0,"",(_xlfn.XLOOKUP(C263,customers!$A$1:$A$1001,customers!$C$1:$C$1001,,0,1)))</f>
        <v>mcanty79@jigsy.com</v>
      </c>
      <c r="H263" s="2" t="str">
        <f>_xlfn.XLOOKUP(C263,customers!$A$1:$A$1001,customers!$G$1:$G$1001,,0,1)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6">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ID]],customers!$A$1:$A$1001,customers!$I$1:$I$1001,"",0,1)</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IF(_xlfn.XLOOKUP(C264,customers!$A$1:$A$1001,customers!$C$1:$C$1001,,0,1)=0,"",(_xlfn.XLOOKUP(C264,customers!$A$1:$A$1001,customers!$C$1:$C$1001,,0,1)))</f>
        <v>jkopke7a@auda.org.au</v>
      </c>
      <c r="H264" s="2" t="str">
        <f>_xlfn.XLOOKUP(C264,customers!$A$1:$A$1001,customers!$G$1:$G$1001,,0,1)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6">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ID]],customers!$A$1:$A$1001,customers!$I$1:$I$1001,"",0,1)</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IF(_xlfn.XLOOKUP(C265,customers!$A$1:$A$1001,customers!$C$1:$C$1001,,0,1)=0,"",(_xlfn.XLOOKUP(C265,customers!$A$1:$A$1001,customers!$C$1:$C$1001,,0,1)))</f>
        <v/>
      </c>
      <c r="H265" s="2" t="str">
        <f>_xlfn.XLOOKUP(C265,customers!$A$1:$A$1001,customers!$G$1:$G$1001,,0,1)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6">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ID]],customers!$A$1:$A$1001,customers!$I$1:$I$1001,"",0,1)</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IF(_xlfn.XLOOKUP(C266,customers!$A$1:$A$1001,customers!$C$1:$C$1001,,0,1)=0,"",(_xlfn.XLOOKUP(C266,customers!$A$1:$A$1001,customers!$C$1:$C$1001,,0,1)))</f>
        <v/>
      </c>
      <c r="H266" s="2" t="str">
        <f>_xlfn.XLOOKUP(C266,customers!$A$1:$A$1001,customers!$G$1:$G$1001,,0,1)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6">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ID]],customers!$A$1:$A$1001,customers!$I$1:$I$1001,"",0,1)</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IF(_xlfn.XLOOKUP(C267,customers!$A$1:$A$1001,customers!$C$1:$C$1001,,0,1)=0,"",(_xlfn.XLOOKUP(C267,customers!$A$1:$A$1001,customers!$C$1:$C$1001,,0,1)))</f>
        <v>vhellmore7d@bbc.co.uk</v>
      </c>
      <c r="H267" s="2" t="str">
        <f>_xlfn.XLOOKUP(C267,customers!$A$1:$A$1001,customers!$G$1:$G$1001,,0,1)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6">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ID]],customers!$A$1:$A$1001,customers!$I$1:$I$1001,"",0,1)</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IF(_xlfn.XLOOKUP(C268,customers!$A$1:$A$1001,customers!$C$1:$C$1001,,0,1)=0,"",(_xlfn.XLOOKUP(C268,customers!$A$1:$A$1001,customers!$C$1:$C$1001,,0,1)))</f>
        <v>mseawright7e@nbcnews.com</v>
      </c>
      <c r="H268" s="2" t="str">
        <f>_xlfn.XLOOKUP(C268,customers!$A$1:$A$1001,customers!$G$1:$G$1001,,0,1)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6">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ID]],customers!$A$1:$A$1001,customers!$I$1:$I$1001,"",0,1)</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IF(_xlfn.XLOOKUP(C269,customers!$A$1:$A$1001,customers!$C$1:$C$1001,,0,1)=0,"",(_xlfn.XLOOKUP(C269,customers!$A$1:$A$1001,customers!$C$1:$C$1001,,0,1)))</f>
        <v>snortheast7f@mashable.com</v>
      </c>
      <c r="H269" s="2" t="str">
        <f>_xlfn.XLOOKUP(C269,customers!$A$1:$A$1001,customers!$G$1:$G$1001,,0,1)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6">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ID]],customers!$A$1:$A$1001,customers!$I$1:$I$1001,"",0,1)</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IF(_xlfn.XLOOKUP(C270,customers!$A$1:$A$1001,customers!$C$1:$C$1001,,0,1)=0,"",(_xlfn.XLOOKUP(C270,customers!$A$1:$A$1001,customers!$C$1:$C$1001,,0,1)))</f>
        <v>aattwater5u@wikia.com</v>
      </c>
      <c r="H270" s="2" t="str">
        <f>_xlfn.XLOOKUP(C270,customers!$A$1:$A$1001,customers!$G$1:$G$1001,,0,1)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6">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ID]],customers!$A$1:$A$1001,customers!$I$1:$I$1001,"",0,1)</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IF(_xlfn.XLOOKUP(C271,customers!$A$1:$A$1001,customers!$C$1:$C$1001,,0,1)=0,"",(_xlfn.XLOOKUP(C271,customers!$A$1:$A$1001,customers!$C$1:$C$1001,,0,1)))</f>
        <v>mfearon7h@reverbnation.com</v>
      </c>
      <c r="H271" s="2" t="str">
        <f>_xlfn.XLOOKUP(C271,customers!$A$1:$A$1001,customers!$G$1:$G$1001,,0,1)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6">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ID]],customers!$A$1:$A$1001,customers!$I$1:$I$1001,"",0,1)</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IF(_xlfn.XLOOKUP(C272,customers!$A$1:$A$1001,customers!$C$1:$C$1001,,0,1)=0,"",(_xlfn.XLOOKUP(C272,customers!$A$1:$A$1001,customers!$C$1:$C$1001,,0,1)))</f>
        <v/>
      </c>
      <c r="H272" s="2" t="str">
        <f>_xlfn.XLOOKUP(C272,customers!$A$1:$A$1001,customers!$G$1:$G$1001,,0,1)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6">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ID]],customers!$A$1:$A$1001,customers!$I$1:$I$1001,"",0,1)</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IF(_xlfn.XLOOKUP(C273,customers!$A$1:$A$1001,customers!$C$1:$C$1001,,0,1)=0,"",(_xlfn.XLOOKUP(C273,customers!$A$1:$A$1001,customers!$C$1:$C$1001,,0,1)))</f>
        <v>jsisneros7j@a8.net</v>
      </c>
      <c r="H273" s="2" t="str">
        <f>_xlfn.XLOOKUP(C273,customers!$A$1:$A$1001,customers!$G$1:$G$1001,,0,1)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6">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ID]],customers!$A$1:$A$1001,customers!$I$1:$I$1001,"",0,1)</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IF(_xlfn.XLOOKUP(C274,customers!$A$1:$A$1001,customers!$C$1:$C$1001,,0,1)=0,"",(_xlfn.XLOOKUP(C274,customers!$A$1:$A$1001,customers!$C$1:$C$1001,,0,1)))</f>
        <v>zcarlson7k@bigcartel.com</v>
      </c>
      <c r="H274" s="2" t="str">
        <f>_xlfn.XLOOKUP(C274,customers!$A$1:$A$1001,customers!$G$1:$G$1001,,0,1)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6">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ID]],customers!$A$1:$A$1001,customers!$I$1:$I$1001,"",0,1)</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IF(_xlfn.XLOOKUP(C275,customers!$A$1:$A$1001,customers!$C$1:$C$1001,,0,1)=0,"",(_xlfn.XLOOKUP(C275,customers!$A$1:$A$1001,customers!$C$1:$C$1001,,0,1)))</f>
        <v>wmaddox7l@timesonline.co.uk</v>
      </c>
      <c r="H275" s="2" t="str">
        <f>_xlfn.XLOOKUP(C275,customers!$A$1:$A$1001,customers!$G$1:$G$1001,,0,1)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6">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ID]],customers!$A$1:$A$1001,customers!$I$1:$I$1001,"",0,1)</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IF(_xlfn.XLOOKUP(C276,customers!$A$1:$A$1001,customers!$C$1:$C$1001,,0,1)=0,"",(_xlfn.XLOOKUP(C276,customers!$A$1:$A$1001,customers!$C$1:$C$1001,,0,1)))</f>
        <v>dhedlestone7m@craigslist.org</v>
      </c>
      <c r="H276" s="2" t="str">
        <f>_xlfn.XLOOKUP(C276,customers!$A$1:$A$1001,customers!$G$1:$G$1001,,0,1)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6">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ID]],customers!$A$1:$A$1001,customers!$I$1:$I$1001,"",0,1)</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IF(_xlfn.XLOOKUP(C277,customers!$A$1:$A$1001,customers!$C$1:$C$1001,,0,1)=0,"",(_xlfn.XLOOKUP(C277,customers!$A$1:$A$1001,customers!$C$1:$C$1001,,0,1)))</f>
        <v>tcrowthe7n@europa.eu</v>
      </c>
      <c r="H277" s="2" t="str">
        <f>_xlfn.XLOOKUP(C277,customers!$A$1:$A$1001,customers!$G$1:$G$1001,,0,1)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6">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ID]],customers!$A$1:$A$1001,customers!$I$1:$I$1001,"",0,1)</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IF(_xlfn.XLOOKUP(C278,customers!$A$1:$A$1001,customers!$C$1:$C$1001,,0,1)=0,"",(_xlfn.XLOOKUP(C278,customers!$A$1:$A$1001,customers!$C$1:$C$1001,,0,1)))</f>
        <v>dbury7o@tinyurl.com</v>
      </c>
      <c r="H278" s="2" t="str">
        <f>_xlfn.XLOOKUP(C278,customers!$A$1:$A$1001,customers!$G$1:$G$1001,,0,1)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6">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ID]],customers!$A$1:$A$1001,customers!$I$1:$I$1001,"",0,1)</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IF(_xlfn.XLOOKUP(C279,customers!$A$1:$A$1001,customers!$C$1:$C$1001,,0,1)=0,"",(_xlfn.XLOOKUP(C279,customers!$A$1:$A$1001,customers!$C$1:$C$1001,,0,1)))</f>
        <v>gbroadbear7p@omniture.com</v>
      </c>
      <c r="H279" s="2" t="str">
        <f>_xlfn.XLOOKUP(C279,customers!$A$1:$A$1001,customers!$G$1:$G$1001,,0,1)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6">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ID]],customers!$A$1:$A$1001,customers!$I$1:$I$1001,"",0,1)</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IF(_xlfn.XLOOKUP(C280,customers!$A$1:$A$1001,customers!$C$1:$C$1001,,0,1)=0,"",(_xlfn.XLOOKUP(C280,customers!$A$1:$A$1001,customers!$C$1:$C$1001,,0,1)))</f>
        <v>epalfrey7q@devhub.com</v>
      </c>
      <c r="H280" s="2" t="str">
        <f>_xlfn.XLOOKUP(C280,customers!$A$1:$A$1001,customers!$G$1:$G$1001,,0,1)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6">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ID]],customers!$A$1:$A$1001,customers!$I$1:$I$1001,"",0,1)</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IF(_xlfn.XLOOKUP(C281,customers!$A$1:$A$1001,customers!$C$1:$C$1001,,0,1)=0,"",(_xlfn.XLOOKUP(C281,customers!$A$1:$A$1001,customers!$C$1:$C$1001,,0,1)))</f>
        <v>pmetrick7r@rakuten.co.jp</v>
      </c>
      <c r="H281" s="2" t="str">
        <f>_xlfn.XLOOKUP(C281,customers!$A$1:$A$1001,customers!$G$1:$G$1001,,0,1)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6">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ID]],customers!$A$1:$A$1001,customers!$I$1:$I$1001,"",0,1)</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IF(_xlfn.XLOOKUP(C282,customers!$A$1:$A$1001,customers!$C$1:$C$1001,,0,1)=0,"",(_xlfn.XLOOKUP(C282,customers!$A$1:$A$1001,customers!$C$1:$C$1001,,0,1)))</f>
        <v/>
      </c>
      <c r="H282" s="2" t="str">
        <f>_xlfn.XLOOKUP(C282,customers!$A$1:$A$1001,customers!$G$1:$G$1001,,0,1)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6">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ID]],customers!$A$1:$A$1001,customers!$I$1:$I$1001,"",0,1)</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IF(_xlfn.XLOOKUP(C283,customers!$A$1:$A$1001,customers!$C$1:$C$1001,,0,1)=0,"",(_xlfn.XLOOKUP(C283,customers!$A$1:$A$1001,customers!$C$1:$C$1001,,0,1)))</f>
        <v>kkarby7t@sbwire.com</v>
      </c>
      <c r="H283" s="2" t="str">
        <f>_xlfn.XLOOKUP(C283,customers!$A$1:$A$1001,customers!$G$1:$G$1001,,0,1)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6">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ID]],customers!$A$1:$A$1001,customers!$I$1:$I$1001,"",0,1)</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IF(_xlfn.XLOOKUP(C284,customers!$A$1:$A$1001,customers!$C$1:$C$1001,,0,1)=0,"",(_xlfn.XLOOKUP(C284,customers!$A$1:$A$1001,customers!$C$1:$C$1001,,0,1)))</f>
        <v>fcrumpe7u@ftc.gov</v>
      </c>
      <c r="H284" s="2" t="str">
        <f>_xlfn.XLOOKUP(C284,customers!$A$1:$A$1001,customers!$G$1:$G$1001,,0,1)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6">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ID]],customers!$A$1:$A$1001,customers!$I$1:$I$1001,"",0,1)</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IF(_xlfn.XLOOKUP(C285,customers!$A$1:$A$1001,customers!$C$1:$C$1001,,0,1)=0,"",(_xlfn.XLOOKUP(C285,customers!$A$1:$A$1001,customers!$C$1:$C$1001,,0,1)))</f>
        <v>achatto7v@sakura.ne.jp</v>
      </c>
      <c r="H285" s="2" t="str">
        <f>_xlfn.XLOOKUP(C285,customers!$A$1:$A$1001,customers!$G$1:$G$1001,,0,1)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6">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ID]],customers!$A$1:$A$1001,customers!$I$1:$I$1001,"",0,1)</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IF(_xlfn.XLOOKUP(C286,customers!$A$1:$A$1001,customers!$C$1:$C$1001,,0,1)=0,"",(_xlfn.XLOOKUP(C286,customers!$A$1:$A$1001,customers!$C$1:$C$1001,,0,1)))</f>
        <v/>
      </c>
      <c r="H286" s="2" t="str">
        <f>_xlfn.XLOOKUP(C286,customers!$A$1:$A$1001,customers!$G$1:$G$1001,,0,1)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6">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ID]],customers!$A$1:$A$1001,customers!$I$1:$I$1001,"",0,1)</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IF(_xlfn.XLOOKUP(C287,customers!$A$1:$A$1001,customers!$C$1:$C$1001,,0,1)=0,"",(_xlfn.XLOOKUP(C287,customers!$A$1:$A$1001,customers!$C$1:$C$1001,,0,1)))</f>
        <v/>
      </c>
      <c r="H287" s="2" t="str">
        <f>_xlfn.XLOOKUP(C287,customers!$A$1:$A$1001,customers!$G$1:$G$1001,,0,1)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6">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ID]],customers!$A$1:$A$1001,customers!$I$1:$I$1001,"",0,1)</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IF(_xlfn.XLOOKUP(C288,customers!$A$1:$A$1001,customers!$C$1:$C$1001,,0,1)=0,"",(_xlfn.XLOOKUP(C288,customers!$A$1:$A$1001,customers!$C$1:$C$1001,,0,1)))</f>
        <v>bmergue7y@umn.edu</v>
      </c>
      <c r="H288" s="2" t="str">
        <f>_xlfn.XLOOKUP(C288,customers!$A$1:$A$1001,customers!$G$1:$G$1001,,0,1)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6">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ID]],customers!$A$1:$A$1001,customers!$I$1:$I$1001,"",0,1)</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IF(_xlfn.XLOOKUP(C289,customers!$A$1:$A$1001,customers!$C$1:$C$1001,,0,1)=0,"",(_xlfn.XLOOKUP(C289,customers!$A$1:$A$1001,customers!$C$1:$C$1001,,0,1)))</f>
        <v>kpatise7z@jigsy.com</v>
      </c>
      <c r="H289" s="2" t="str">
        <f>_xlfn.XLOOKUP(C289,customers!$A$1:$A$1001,customers!$G$1:$G$1001,,0,1)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6">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ID]],customers!$A$1:$A$1001,customers!$I$1:$I$1001,"",0,1)</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IF(_xlfn.XLOOKUP(C290,customers!$A$1:$A$1001,customers!$C$1:$C$1001,,0,1)=0,"",(_xlfn.XLOOKUP(C290,customers!$A$1:$A$1001,customers!$C$1:$C$1001,,0,1)))</f>
        <v/>
      </c>
      <c r="H290" s="2" t="str">
        <f>_xlfn.XLOOKUP(C290,customers!$A$1:$A$1001,customers!$G$1:$G$1001,,0,1)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6">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ID]],customers!$A$1:$A$1001,customers!$I$1:$I$1001,"",0,1)</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IF(_xlfn.XLOOKUP(C291,customers!$A$1:$A$1001,customers!$C$1:$C$1001,,0,1)=0,"",(_xlfn.XLOOKUP(C291,customers!$A$1:$A$1001,customers!$C$1:$C$1001,,0,1)))</f>
        <v/>
      </c>
      <c r="H291" s="2" t="str">
        <f>_xlfn.XLOOKUP(C291,customers!$A$1:$A$1001,customers!$G$1:$G$1001,,0,1)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6">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ID]],customers!$A$1:$A$1001,customers!$I$1:$I$1001,"",0,1)</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IF(_xlfn.XLOOKUP(C292,customers!$A$1:$A$1001,customers!$C$1:$C$1001,,0,1)=0,"",(_xlfn.XLOOKUP(C292,customers!$A$1:$A$1001,customers!$C$1:$C$1001,,0,1)))</f>
        <v>dduke82@vkontakte.ru</v>
      </c>
      <c r="H292" s="2" t="str">
        <f>_xlfn.XLOOKUP(C292,customers!$A$1:$A$1001,customers!$G$1:$G$1001,,0,1)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6">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ID]],customers!$A$1:$A$1001,customers!$I$1:$I$1001,"",0,1)</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IF(_xlfn.XLOOKUP(C293,customers!$A$1:$A$1001,customers!$C$1:$C$1001,,0,1)=0,"",(_xlfn.XLOOKUP(C293,customers!$A$1:$A$1001,customers!$C$1:$C$1001,,0,1)))</f>
        <v/>
      </c>
      <c r="H293" s="2" t="str">
        <f>_xlfn.XLOOKUP(C293,customers!$A$1:$A$1001,customers!$G$1:$G$1001,,0,1)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6">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ID]],customers!$A$1:$A$1001,customers!$I$1:$I$1001,"",0,1)</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IF(_xlfn.XLOOKUP(C294,customers!$A$1:$A$1001,customers!$C$1:$C$1001,,0,1)=0,"",(_xlfn.XLOOKUP(C294,customers!$A$1:$A$1001,customers!$C$1:$C$1001,,0,1)))</f>
        <v>ihussey84@mapy.cz</v>
      </c>
      <c r="H294" s="2" t="str">
        <f>_xlfn.XLOOKUP(C294,customers!$A$1:$A$1001,customers!$G$1:$G$1001,,0,1)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6">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ID]],customers!$A$1:$A$1001,customers!$I$1:$I$1001,"",0,1)</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IF(_xlfn.XLOOKUP(C295,customers!$A$1:$A$1001,customers!$C$1:$C$1001,,0,1)=0,"",(_xlfn.XLOOKUP(C295,customers!$A$1:$A$1001,customers!$C$1:$C$1001,,0,1)))</f>
        <v>cpinkerton85@upenn.edu</v>
      </c>
      <c r="H295" s="2" t="str">
        <f>_xlfn.XLOOKUP(C295,customers!$A$1:$A$1001,customers!$G$1:$G$1001,,0,1)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6">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ID]],customers!$A$1:$A$1001,customers!$I$1:$I$1001,"",0,1)</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IF(_xlfn.XLOOKUP(C296,customers!$A$1:$A$1001,customers!$C$1:$C$1001,,0,1)=0,"",(_xlfn.XLOOKUP(C296,customers!$A$1:$A$1001,customers!$C$1:$C$1001,,0,1)))</f>
        <v/>
      </c>
      <c r="H296" s="2" t="str">
        <f>_xlfn.XLOOKUP(C296,customers!$A$1:$A$1001,customers!$G$1:$G$1001,,0,1)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6">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ID]],customers!$A$1:$A$1001,customers!$I$1:$I$1001,"",0,1)</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IF(_xlfn.XLOOKUP(C297,customers!$A$1:$A$1001,customers!$C$1:$C$1001,,0,1)=0,"",(_xlfn.XLOOKUP(C297,customers!$A$1:$A$1001,customers!$C$1:$C$1001,,0,1)))</f>
        <v/>
      </c>
      <c r="H297" s="2" t="str">
        <f>_xlfn.XLOOKUP(C297,customers!$A$1:$A$1001,customers!$G$1:$G$1001,,0,1)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6">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ID]],customers!$A$1:$A$1001,customers!$I$1:$I$1001,"",0,1)</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IF(_xlfn.XLOOKUP(C298,customers!$A$1:$A$1001,customers!$C$1:$C$1001,,0,1)=0,"",(_xlfn.XLOOKUP(C298,customers!$A$1:$A$1001,customers!$C$1:$C$1001,,0,1)))</f>
        <v>dvizor88@furl.net</v>
      </c>
      <c r="H298" s="2" t="str">
        <f>_xlfn.XLOOKUP(C298,customers!$A$1:$A$1001,customers!$G$1:$G$1001,,0,1)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6">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ID]],customers!$A$1:$A$1001,customers!$I$1:$I$1001,"",0,1)</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IF(_xlfn.XLOOKUP(C299,customers!$A$1:$A$1001,customers!$C$1:$C$1001,,0,1)=0,"",(_xlfn.XLOOKUP(C299,customers!$A$1:$A$1001,customers!$C$1:$C$1001,,0,1)))</f>
        <v>esedgebeer89@oaic.gov.au</v>
      </c>
      <c r="H299" s="2" t="str">
        <f>_xlfn.XLOOKUP(C299,customers!$A$1:$A$1001,customers!$G$1:$G$1001,,0,1)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6">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ID]],customers!$A$1:$A$1001,customers!$I$1:$I$1001,"",0,1)</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IF(_xlfn.XLOOKUP(C300,customers!$A$1:$A$1001,customers!$C$1:$C$1001,,0,1)=0,"",(_xlfn.XLOOKUP(C300,customers!$A$1:$A$1001,customers!$C$1:$C$1001,,0,1)))</f>
        <v>klestrange8a@lulu.com</v>
      </c>
      <c r="H300" s="2" t="str">
        <f>_xlfn.XLOOKUP(C300,customers!$A$1:$A$1001,customers!$G$1:$G$1001,,0,1)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6">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ID]],customers!$A$1:$A$1001,customers!$I$1:$I$1001,"",0,1)</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IF(_xlfn.XLOOKUP(C301,customers!$A$1:$A$1001,customers!$C$1:$C$1001,,0,1)=0,"",(_xlfn.XLOOKUP(C301,customers!$A$1:$A$1001,customers!$C$1:$C$1001,,0,1)))</f>
        <v>ltanti8b@techcrunch.com</v>
      </c>
      <c r="H301" s="2" t="str">
        <f>_xlfn.XLOOKUP(C301,customers!$A$1:$A$1001,customers!$G$1:$G$1001,,0,1)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6">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ID]],customers!$A$1:$A$1001,customers!$I$1:$I$1001,"",0,1)</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IF(_xlfn.XLOOKUP(C302,customers!$A$1:$A$1001,customers!$C$1:$C$1001,,0,1)=0,"",(_xlfn.XLOOKUP(C302,customers!$A$1:$A$1001,customers!$C$1:$C$1001,,0,1)))</f>
        <v>ade8c@1und1.de</v>
      </c>
      <c r="H302" s="2" t="str">
        <f>_xlfn.XLOOKUP(C302,customers!$A$1:$A$1001,customers!$G$1:$G$1001,,0,1)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6">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ID]],customers!$A$1:$A$1001,customers!$I$1:$I$1001,"",0,1)</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IF(_xlfn.XLOOKUP(C303,customers!$A$1:$A$1001,customers!$C$1:$C$1001,,0,1)=0,"",(_xlfn.XLOOKUP(C303,customers!$A$1:$A$1001,customers!$C$1:$C$1001,,0,1)))</f>
        <v>tjedrachowicz8d@acquirethisname.com</v>
      </c>
      <c r="H303" s="2" t="str">
        <f>_xlfn.XLOOKUP(C303,customers!$A$1:$A$1001,customers!$G$1:$G$1001,,0,1)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6">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ID]],customers!$A$1:$A$1001,customers!$I$1:$I$1001,"",0,1)</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IF(_xlfn.XLOOKUP(C304,customers!$A$1:$A$1001,customers!$C$1:$C$1001,,0,1)=0,"",(_xlfn.XLOOKUP(C304,customers!$A$1:$A$1001,customers!$C$1:$C$1001,,0,1)))</f>
        <v>pstonner8e@moonfruit.com</v>
      </c>
      <c r="H304" s="2" t="str">
        <f>_xlfn.XLOOKUP(C304,customers!$A$1:$A$1001,customers!$G$1:$G$1001,,0,1)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6">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ID]],customers!$A$1:$A$1001,customers!$I$1:$I$1001,"",0,1)</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IF(_xlfn.XLOOKUP(C305,customers!$A$1:$A$1001,customers!$C$1:$C$1001,,0,1)=0,"",(_xlfn.XLOOKUP(C305,customers!$A$1:$A$1001,customers!$C$1:$C$1001,,0,1)))</f>
        <v>dtingly8f@goo.ne.jp</v>
      </c>
      <c r="H305" s="2" t="str">
        <f>_xlfn.XLOOKUP(C305,customers!$A$1:$A$1001,customers!$G$1:$G$1001,,0,1)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6">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ID]],customers!$A$1:$A$1001,customers!$I$1:$I$1001,"",0,1)</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IF(_xlfn.XLOOKUP(C306,customers!$A$1:$A$1001,customers!$C$1:$C$1001,,0,1)=0,"",(_xlfn.XLOOKUP(C306,customers!$A$1:$A$1001,customers!$C$1:$C$1001,,0,1)))</f>
        <v>crushe8n@about.me</v>
      </c>
      <c r="H306" s="2" t="str">
        <f>_xlfn.XLOOKUP(C306,customers!$A$1:$A$1001,customers!$G$1:$G$1001,,0,1)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6">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ID]],customers!$A$1:$A$1001,customers!$I$1:$I$1001,"",0,1)</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IF(_xlfn.XLOOKUP(C307,customers!$A$1:$A$1001,customers!$C$1:$C$1001,,0,1)=0,"",(_xlfn.XLOOKUP(C307,customers!$A$1:$A$1001,customers!$C$1:$C$1001,,0,1)))</f>
        <v>bchecci8h@usa.gov</v>
      </c>
      <c r="H307" s="2" t="str">
        <f>_xlfn.XLOOKUP(C307,customers!$A$1:$A$1001,customers!$G$1:$G$1001,,0,1)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6">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ID]],customers!$A$1:$A$1001,customers!$I$1:$I$1001,"",0,1)</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IF(_xlfn.XLOOKUP(C308,customers!$A$1:$A$1001,customers!$C$1:$C$1001,,0,1)=0,"",(_xlfn.XLOOKUP(C308,customers!$A$1:$A$1001,customers!$C$1:$C$1001,,0,1)))</f>
        <v>jbagot8i@mac.com</v>
      </c>
      <c r="H308" s="2" t="str">
        <f>_xlfn.XLOOKUP(C308,customers!$A$1:$A$1001,customers!$G$1:$G$1001,,0,1)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6">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ID]],customers!$A$1:$A$1001,customers!$I$1:$I$1001,"",0,1)</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IF(_xlfn.XLOOKUP(C309,customers!$A$1:$A$1001,customers!$C$1:$C$1001,,0,1)=0,"",(_xlfn.XLOOKUP(C309,customers!$A$1:$A$1001,customers!$C$1:$C$1001,,0,1)))</f>
        <v>ebeeble8j@soundcloud.com</v>
      </c>
      <c r="H309" s="2" t="str">
        <f>_xlfn.XLOOKUP(C309,customers!$A$1:$A$1001,customers!$G$1:$G$1001,,0,1)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6">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ID]],customers!$A$1:$A$1001,customers!$I$1:$I$1001,"",0,1)</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IF(_xlfn.XLOOKUP(C310,customers!$A$1:$A$1001,customers!$C$1:$C$1001,,0,1)=0,"",(_xlfn.XLOOKUP(C310,customers!$A$1:$A$1001,customers!$C$1:$C$1001,,0,1)))</f>
        <v>cfluin8k@flickr.com</v>
      </c>
      <c r="H310" s="2" t="str">
        <f>_xlfn.XLOOKUP(C310,customers!$A$1:$A$1001,customers!$G$1:$G$1001,,0,1)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6">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ID]],customers!$A$1:$A$1001,customers!$I$1:$I$1001,"",0,1)</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IF(_xlfn.XLOOKUP(C311,customers!$A$1:$A$1001,customers!$C$1:$C$1001,,0,1)=0,"",(_xlfn.XLOOKUP(C311,customers!$A$1:$A$1001,customers!$C$1:$C$1001,,0,1)))</f>
        <v>ebletsor8l@vinaora.com</v>
      </c>
      <c r="H311" s="2" t="str">
        <f>_xlfn.XLOOKUP(C311,customers!$A$1:$A$1001,customers!$G$1:$G$1001,,0,1)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6">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ID]],customers!$A$1:$A$1001,customers!$I$1:$I$1001,"",0,1)</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IF(_xlfn.XLOOKUP(C312,customers!$A$1:$A$1001,customers!$C$1:$C$1001,,0,1)=0,"",(_xlfn.XLOOKUP(C312,customers!$A$1:$A$1001,customers!$C$1:$C$1001,,0,1)))</f>
        <v>pbrydell8m@bloglovin.com</v>
      </c>
      <c r="H312" s="2" t="str">
        <f>_xlfn.XLOOKUP(C312,customers!$A$1:$A$1001,customers!$G$1:$G$1001,,0,1)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6">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ID]],customers!$A$1:$A$1001,customers!$I$1:$I$1001,"",0,1)</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IF(_xlfn.XLOOKUP(C313,customers!$A$1:$A$1001,customers!$C$1:$C$1001,,0,1)=0,"",(_xlfn.XLOOKUP(C313,customers!$A$1:$A$1001,customers!$C$1:$C$1001,,0,1)))</f>
        <v>crushe8n@about.me</v>
      </c>
      <c r="H313" s="2" t="str">
        <f>_xlfn.XLOOKUP(C313,customers!$A$1:$A$1001,customers!$G$1:$G$1001,,0,1)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6">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ID]],customers!$A$1:$A$1001,customers!$I$1:$I$1001,"",0,1)</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IF(_xlfn.XLOOKUP(C314,customers!$A$1:$A$1001,customers!$C$1:$C$1001,,0,1)=0,"",(_xlfn.XLOOKUP(C314,customers!$A$1:$A$1001,customers!$C$1:$C$1001,,0,1)))</f>
        <v>nleethem8o@mac.com</v>
      </c>
      <c r="H314" s="2" t="str">
        <f>_xlfn.XLOOKUP(C314,customers!$A$1:$A$1001,customers!$G$1:$G$1001,,0,1)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6">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ID]],customers!$A$1:$A$1001,customers!$I$1:$I$1001,"",0,1)</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IF(_xlfn.XLOOKUP(C315,customers!$A$1:$A$1001,customers!$C$1:$C$1001,,0,1)=0,"",(_xlfn.XLOOKUP(C315,customers!$A$1:$A$1001,customers!$C$1:$C$1001,,0,1)))</f>
        <v>anesfield8p@people.com.cn</v>
      </c>
      <c r="H315" s="2" t="str">
        <f>_xlfn.XLOOKUP(C315,customers!$A$1:$A$1001,customers!$G$1:$G$1001,,0,1)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6">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ID]],customers!$A$1:$A$1001,customers!$I$1:$I$1001,"",0,1)</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IF(_xlfn.XLOOKUP(C316,customers!$A$1:$A$1001,customers!$C$1:$C$1001,,0,1)=0,"",(_xlfn.XLOOKUP(C316,customers!$A$1:$A$1001,customers!$C$1:$C$1001,,0,1)))</f>
        <v/>
      </c>
      <c r="H316" s="2" t="str">
        <f>_xlfn.XLOOKUP(C316,customers!$A$1:$A$1001,customers!$G$1:$G$1001,,0,1)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6">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ID]],customers!$A$1:$A$1001,customers!$I$1:$I$1001,"",0,1)</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IF(_xlfn.XLOOKUP(C317,customers!$A$1:$A$1001,customers!$C$1:$C$1001,,0,1)=0,"",(_xlfn.XLOOKUP(C317,customers!$A$1:$A$1001,customers!$C$1:$C$1001,,0,1)))</f>
        <v>mbrockway8r@ibm.com</v>
      </c>
      <c r="H317" s="2" t="str">
        <f>_xlfn.XLOOKUP(C317,customers!$A$1:$A$1001,customers!$G$1:$G$1001,,0,1)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6">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ID]],customers!$A$1:$A$1001,customers!$I$1:$I$1001,"",0,1)</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IF(_xlfn.XLOOKUP(C318,customers!$A$1:$A$1001,customers!$C$1:$C$1001,,0,1)=0,"",(_xlfn.XLOOKUP(C318,customers!$A$1:$A$1001,customers!$C$1:$C$1001,,0,1)))</f>
        <v>nlush8s@dedecms.com</v>
      </c>
      <c r="H318" s="2" t="str">
        <f>_xlfn.XLOOKUP(C318,customers!$A$1:$A$1001,customers!$G$1:$G$1001,,0,1)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6">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ID]],customers!$A$1:$A$1001,customers!$I$1:$I$1001,"",0,1)</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IF(_xlfn.XLOOKUP(C319,customers!$A$1:$A$1001,customers!$C$1:$C$1001,,0,1)=0,"",(_xlfn.XLOOKUP(C319,customers!$A$1:$A$1001,customers!$C$1:$C$1001,,0,1)))</f>
        <v>smcmillian8t@csmonitor.com</v>
      </c>
      <c r="H319" s="2" t="str">
        <f>_xlfn.XLOOKUP(C319,customers!$A$1:$A$1001,customers!$G$1:$G$1001,,0,1)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6">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ID]],customers!$A$1:$A$1001,customers!$I$1:$I$1001,"",0,1)</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IF(_xlfn.XLOOKUP(C320,customers!$A$1:$A$1001,customers!$C$1:$C$1001,,0,1)=0,"",(_xlfn.XLOOKUP(C320,customers!$A$1:$A$1001,customers!$C$1:$C$1001,,0,1)))</f>
        <v>tbennison8u@google.cn</v>
      </c>
      <c r="H320" s="2" t="str">
        <f>_xlfn.XLOOKUP(C320,customers!$A$1:$A$1001,customers!$G$1:$G$1001,,0,1)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6">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ID]],customers!$A$1:$A$1001,customers!$I$1:$I$1001,"",0,1)</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IF(_xlfn.XLOOKUP(C321,customers!$A$1:$A$1001,customers!$C$1:$C$1001,,0,1)=0,"",(_xlfn.XLOOKUP(C321,customers!$A$1:$A$1001,customers!$C$1:$C$1001,,0,1)))</f>
        <v>gtweed8v@yolasite.com</v>
      </c>
      <c r="H321" s="2" t="str">
        <f>_xlfn.XLOOKUP(C321,customers!$A$1:$A$1001,customers!$G$1:$G$1001,,0,1)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6">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ID]],customers!$A$1:$A$1001,customers!$I$1:$I$1001,"",0,1)</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IF(_xlfn.XLOOKUP(C322,customers!$A$1:$A$1001,customers!$C$1:$C$1001,,0,1)=0,"",(_xlfn.XLOOKUP(C322,customers!$A$1:$A$1001,customers!$C$1:$C$1001,,0,1)))</f>
        <v>gtweed8v@yolasite.com</v>
      </c>
      <c r="H322" s="2" t="str">
        <f>_xlfn.XLOOKUP(C322,customers!$A$1:$A$1001,customers!$G$1:$G$1001,,0,1)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6">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ID]],customers!$A$1:$A$1001,customers!$I$1:$I$1001,"",0,1)</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IF(_xlfn.XLOOKUP(C323,customers!$A$1:$A$1001,customers!$C$1:$C$1001,,0,1)=0,"",(_xlfn.XLOOKUP(C323,customers!$A$1:$A$1001,customers!$C$1:$C$1001,,0,1)))</f>
        <v>ggoggin8x@wix.com</v>
      </c>
      <c r="H323" s="2" t="str">
        <f>_xlfn.XLOOKUP(C323,customers!$A$1:$A$1001,customers!$G$1:$G$1001,,0,1)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6">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ID]],customers!$A$1:$A$1001,customers!$I$1:$I$1001,"",0,1)</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IF(_xlfn.XLOOKUP(C324,customers!$A$1:$A$1001,customers!$C$1:$C$1001,,0,1)=0,"",(_xlfn.XLOOKUP(C324,customers!$A$1:$A$1001,customers!$C$1:$C$1001,,0,1)))</f>
        <v>sjeyness8y@biglobe.ne.jp</v>
      </c>
      <c r="H324" s="2" t="str">
        <f>_xlfn.XLOOKUP(C324,customers!$A$1:$A$1001,customers!$G$1:$G$1001,,0,1)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6">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ID]],customers!$A$1:$A$1001,customers!$I$1:$I$1001,"",0,1)</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IF(_xlfn.XLOOKUP(C325,customers!$A$1:$A$1001,customers!$C$1:$C$1001,,0,1)=0,"",(_xlfn.XLOOKUP(C325,customers!$A$1:$A$1001,customers!$C$1:$C$1001,,0,1)))</f>
        <v>dbonhome8z@shinystat.com</v>
      </c>
      <c r="H325" s="2" t="str">
        <f>_xlfn.XLOOKUP(C325,customers!$A$1:$A$1001,customers!$G$1:$G$1001,,0,1)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6">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ID]],customers!$A$1:$A$1001,customers!$I$1:$I$1001,"",0,1)</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IF(_xlfn.XLOOKUP(C326,customers!$A$1:$A$1001,customers!$C$1:$C$1001,,0,1)=0,"",(_xlfn.XLOOKUP(C326,customers!$A$1:$A$1001,customers!$C$1:$C$1001,,0,1)))</f>
        <v/>
      </c>
      <c r="H326" s="2" t="str">
        <f>_xlfn.XLOOKUP(C326,customers!$A$1:$A$1001,customers!$G$1:$G$1001,,0,1)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6">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ID]],customers!$A$1:$A$1001,customers!$I$1:$I$1001,"",0,1)</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IF(_xlfn.XLOOKUP(C327,customers!$A$1:$A$1001,customers!$C$1:$C$1001,,0,1)=0,"",(_xlfn.XLOOKUP(C327,customers!$A$1:$A$1001,customers!$C$1:$C$1001,,0,1)))</f>
        <v>tle91@epa.gov</v>
      </c>
      <c r="H327" s="2" t="str">
        <f>_xlfn.XLOOKUP(C327,customers!$A$1:$A$1001,customers!$G$1:$G$1001,,0,1)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6">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ID]],customers!$A$1:$A$1001,customers!$I$1:$I$1001,"",0,1)</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IF(_xlfn.XLOOKUP(C328,customers!$A$1:$A$1001,customers!$C$1:$C$1001,,0,1)=0,"",(_xlfn.XLOOKUP(C328,customers!$A$1:$A$1001,customers!$C$1:$C$1001,,0,1)))</f>
        <v/>
      </c>
      <c r="H328" s="2" t="str">
        <f>_xlfn.XLOOKUP(C328,customers!$A$1:$A$1001,customers!$G$1:$G$1001,,0,1)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6">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ID]],customers!$A$1:$A$1001,customers!$I$1:$I$1001,"",0,1)</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IF(_xlfn.XLOOKUP(C329,customers!$A$1:$A$1001,customers!$C$1:$C$1001,,0,1)=0,"",(_xlfn.XLOOKUP(C329,customers!$A$1:$A$1001,customers!$C$1:$C$1001,,0,1)))</f>
        <v>balldridge93@yandex.ru</v>
      </c>
      <c r="H329" s="2" t="str">
        <f>_xlfn.XLOOKUP(C329,customers!$A$1:$A$1001,customers!$G$1:$G$1001,,0,1)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6">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ID]],customers!$A$1:$A$1001,customers!$I$1:$I$1001,"",0,1)</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IF(_xlfn.XLOOKUP(C330,customers!$A$1:$A$1001,customers!$C$1:$C$1001,,0,1)=0,"",(_xlfn.XLOOKUP(C330,customers!$A$1:$A$1001,customers!$C$1:$C$1001,,0,1)))</f>
        <v/>
      </c>
      <c r="H330" s="2" t="str">
        <f>_xlfn.XLOOKUP(C330,customers!$A$1:$A$1001,customers!$G$1:$G$1001,,0,1)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6">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ID]],customers!$A$1:$A$1001,customers!$I$1:$I$1001,"",0,1)</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IF(_xlfn.XLOOKUP(C331,customers!$A$1:$A$1001,customers!$C$1:$C$1001,,0,1)=0,"",(_xlfn.XLOOKUP(C331,customers!$A$1:$A$1001,customers!$C$1:$C$1001,,0,1)))</f>
        <v>lgoodger95@guardian.co.uk</v>
      </c>
      <c r="H331" s="2" t="str">
        <f>_xlfn.XLOOKUP(C331,customers!$A$1:$A$1001,customers!$G$1:$G$1001,,0,1)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6">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ID]],customers!$A$1:$A$1001,customers!$I$1:$I$1001,"",0,1)</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IF(_xlfn.XLOOKUP(C332,customers!$A$1:$A$1001,customers!$C$1:$C$1001,,0,1)=0,"",(_xlfn.XLOOKUP(C332,customers!$A$1:$A$1001,customers!$C$1:$C$1001,,0,1)))</f>
        <v>smcmillian8t@csmonitor.com</v>
      </c>
      <c r="H332" s="2" t="str">
        <f>_xlfn.XLOOKUP(C332,customers!$A$1:$A$1001,customers!$G$1:$G$1001,,0,1)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6">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ID]],customers!$A$1:$A$1001,customers!$I$1:$I$1001,"",0,1)</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IF(_xlfn.XLOOKUP(C333,customers!$A$1:$A$1001,customers!$C$1:$C$1001,,0,1)=0,"",(_xlfn.XLOOKUP(C333,customers!$A$1:$A$1001,customers!$C$1:$C$1001,,0,1)))</f>
        <v>cdrewett97@wikipedia.org</v>
      </c>
      <c r="H333" s="2" t="str">
        <f>_xlfn.XLOOKUP(C333,customers!$A$1:$A$1001,customers!$G$1:$G$1001,,0,1)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6">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ID]],customers!$A$1:$A$1001,customers!$I$1:$I$1001,"",0,1)</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IF(_xlfn.XLOOKUP(C334,customers!$A$1:$A$1001,customers!$C$1:$C$1001,,0,1)=0,"",(_xlfn.XLOOKUP(C334,customers!$A$1:$A$1001,customers!$C$1:$C$1001,,0,1)))</f>
        <v>qparsons98@blogtalkradio.com</v>
      </c>
      <c r="H334" s="2" t="str">
        <f>_xlfn.XLOOKUP(C334,customers!$A$1:$A$1001,customers!$G$1:$G$1001,,0,1)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6">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ID]],customers!$A$1:$A$1001,customers!$I$1:$I$1001,"",0,1)</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IF(_xlfn.XLOOKUP(C335,customers!$A$1:$A$1001,customers!$C$1:$C$1001,,0,1)=0,"",(_xlfn.XLOOKUP(C335,customers!$A$1:$A$1001,customers!$C$1:$C$1001,,0,1)))</f>
        <v>vceely99@auda.org.au</v>
      </c>
      <c r="H335" s="2" t="str">
        <f>_xlfn.XLOOKUP(C335,customers!$A$1:$A$1001,customers!$G$1:$G$1001,,0,1)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6">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ID]],customers!$A$1:$A$1001,customers!$I$1:$I$1001,"",0,1)</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IF(_xlfn.XLOOKUP(C336,customers!$A$1:$A$1001,customers!$C$1:$C$1001,,0,1)=0,"",(_xlfn.XLOOKUP(C336,customers!$A$1:$A$1001,customers!$C$1:$C$1001,,0,1)))</f>
        <v/>
      </c>
      <c r="H336" s="2" t="str">
        <f>_xlfn.XLOOKUP(C336,customers!$A$1:$A$1001,customers!$G$1:$G$1001,,0,1)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6">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ID]],customers!$A$1:$A$1001,customers!$I$1:$I$1001,"",0,1)</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IF(_xlfn.XLOOKUP(C337,customers!$A$1:$A$1001,customers!$C$1:$C$1001,,0,1)=0,"",(_xlfn.XLOOKUP(C337,customers!$A$1:$A$1001,customers!$C$1:$C$1001,,0,1)))</f>
        <v>cvasiliev9b@discuz.net</v>
      </c>
      <c r="H337" s="2" t="str">
        <f>_xlfn.XLOOKUP(C337,customers!$A$1:$A$1001,customers!$G$1:$G$1001,,0,1)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6">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ID]],customers!$A$1:$A$1001,customers!$I$1:$I$1001,"",0,1)</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IF(_xlfn.XLOOKUP(C338,customers!$A$1:$A$1001,customers!$C$1:$C$1001,,0,1)=0,"",(_xlfn.XLOOKUP(C338,customers!$A$1:$A$1001,customers!$C$1:$C$1001,,0,1)))</f>
        <v>tomoylan9c@liveinternet.ru</v>
      </c>
      <c r="H338" s="2" t="str">
        <f>_xlfn.XLOOKUP(C338,customers!$A$1:$A$1001,customers!$G$1:$G$1001,,0,1)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6">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ID]],customers!$A$1:$A$1001,customers!$I$1:$I$1001,"",0,1)</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IF(_xlfn.XLOOKUP(C339,customers!$A$1:$A$1001,customers!$C$1:$C$1001,,0,1)=0,"",(_xlfn.XLOOKUP(C339,customers!$A$1:$A$1001,customers!$C$1:$C$1001,,0,1)))</f>
        <v/>
      </c>
      <c r="H339" s="2" t="str">
        <f>_xlfn.XLOOKUP(C339,customers!$A$1:$A$1001,customers!$G$1:$G$1001,,0,1)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6">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ID]],customers!$A$1:$A$1001,customers!$I$1:$I$1001,"",0,1)</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IF(_xlfn.XLOOKUP(C340,customers!$A$1:$A$1001,customers!$C$1:$C$1001,,0,1)=0,"",(_xlfn.XLOOKUP(C340,customers!$A$1:$A$1001,customers!$C$1:$C$1001,,0,1)))</f>
        <v>wfetherston9e@constantcontact.com</v>
      </c>
      <c r="H340" s="2" t="str">
        <f>_xlfn.XLOOKUP(C340,customers!$A$1:$A$1001,customers!$G$1:$G$1001,,0,1)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6">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ID]],customers!$A$1:$A$1001,customers!$I$1:$I$1001,"",0,1)</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IF(_xlfn.XLOOKUP(C341,customers!$A$1:$A$1001,customers!$C$1:$C$1001,,0,1)=0,"",(_xlfn.XLOOKUP(C341,customers!$A$1:$A$1001,customers!$C$1:$C$1001,,0,1)))</f>
        <v>erasmus9f@techcrunch.com</v>
      </c>
      <c r="H341" s="2" t="str">
        <f>_xlfn.XLOOKUP(C341,customers!$A$1:$A$1001,customers!$G$1:$G$1001,,0,1)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6">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ID]],customers!$A$1:$A$1001,customers!$I$1:$I$1001,"",0,1)</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IF(_xlfn.XLOOKUP(C342,customers!$A$1:$A$1001,customers!$C$1:$C$1001,,0,1)=0,"",(_xlfn.XLOOKUP(C342,customers!$A$1:$A$1001,customers!$C$1:$C$1001,,0,1)))</f>
        <v>wgiorgioni9g@wikipedia.org</v>
      </c>
      <c r="H342" s="2" t="str">
        <f>_xlfn.XLOOKUP(C342,customers!$A$1:$A$1001,customers!$G$1:$G$1001,,0,1)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6">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ID]],customers!$A$1:$A$1001,customers!$I$1:$I$1001,"",0,1)</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IF(_xlfn.XLOOKUP(C343,customers!$A$1:$A$1001,customers!$C$1:$C$1001,,0,1)=0,"",(_xlfn.XLOOKUP(C343,customers!$A$1:$A$1001,customers!$C$1:$C$1001,,0,1)))</f>
        <v>lscargle9h@myspace.com</v>
      </c>
      <c r="H343" s="2" t="str">
        <f>_xlfn.XLOOKUP(C343,customers!$A$1:$A$1001,customers!$G$1:$G$1001,,0,1)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6">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ID]],customers!$A$1:$A$1001,customers!$I$1:$I$1001,"",0,1)</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IF(_xlfn.XLOOKUP(C344,customers!$A$1:$A$1001,customers!$C$1:$C$1001,,0,1)=0,"",(_xlfn.XLOOKUP(C344,customers!$A$1:$A$1001,customers!$C$1:$C$1001,,0,1)))</f>
        <v>lscargle9h@myspace.com</v>
      </c>
      <c r="H344" s="2" t="str">
        <f>_xlfn.XLOOKUP(C344,customers!$A$1:$A$1001,customers!$G$1:$G$1001,,0,1)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6">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ID]],customers!$A$1:$A$1001,customers!$I$1:$I$1001,"",0,1)</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IF(_xlfn.XLOOKUP(C345,customers!$A$1:$A$1001,customers!$C$1:$C$1001,,0,1)=0,"",(_xlfn.XLOOKUP(C345,customers!$A$1:$A$1001,customers!$C$1:$C$1001,,0,1)))</f>
        <v>nclimance9j@europa.eu</v>
      </c>
      <c r="H345" s="2" t="str">
        <f>_xlfn.XLOOKUP(C345,customers!$A$1:$A$1001,customers!$G$1:$G$1001,,0,1)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6">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ID]],customers!$A$1:$A$1001,customers!$I$1:$I$1001,"",0,1)</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IF(_xlfn.XLOOKUP(C346,customers!$A$1:$A$1001,customers!$C$1:$C$1001,,0,1)=0,"",(_xlfn.XLOOKUP(C346,customers!$A$1:$A$1001,customers!$C$1:$C$1001,,0,1)))</f>
        <v/>
      </c>
      <c r="H346" s="2" t="str">
        <f>_xlfn.XLOOKUP(C346,customers!$A$1:$A$1001,customers!$G$1:$G$1001,,0,1)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6">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ID]],customers!$A$1:$A$1001,customers!$I$1:$I$1001,"",0,1)</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IF(_xlfn.XLOOKUP(C347,customers!$A$1:$A$1001,customers!$C$1:$C$1001,,0,1)=0,"",(_xlfn.XLOOKUP(C347,customers!$A$1:$A$1001,customers!$C$1:$C$1001,,0,1)))</f>
        <v>asnazle9l@oracle.com</v>
      </c>
      <c r="H347" s="2" t="str">
        <f>_xlfn.XLOOKUP(C347,customers!$A$1:$A$1001,customers!$G$1:$G$1001,,0,1)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6">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ID]],customers!$A$1:$A$1001,customers!$I$1:$I$1001,"",0,1)</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IF(_xlfn.XLOOKUP(C348,customers!$A$1:$A$1001,customers!$C$1:$C$1001,,0,1)=0,"",(_xlfn.XLOOKUP(C348,customers!$A$1:$A$1001,customers!$C$1:$C$1001,,0,1)))</f>
        <v>rworg9m@arstechnica.com</v>
      </c>
      <c r="H348" s="2" t="str">
        <f>_xlfn.XLOOKUP(C348,customers!$A$1:$A$1001,customers!$G$1:$G$1001,,0,1)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6">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ID]],customers!$A$1:$A$1001,customers!$I$1:$I$1001,"",0,1)</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IF(_xlfn.XLOOKUP(C349,customers!$A$1:$A$1001,customers!$C$1:$C$1001,,0,1)=0,"",(_xlfn.XLOOKUP(C349,customers!$A$1:$A$1001,customers!$C$1:$C$1001,,0,1)))</f>
        <v>ldanes9n@umn.edu</v>
      </c>
      <c r="H349" s="2" t="str">
        <f>_xlfn.XLOOKUP(C349,customers!$A$1:$A$1001,customers!$G$1:$G$1001,,0,1)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6">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ID]],customers!$A$1:$A$1001,customers!$I$1:$I$1001,"",0,1)</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IF(_xlfn.XLOOKUP(C350,customers!$A$1:$A$1001,customers!$C$1:$C$1001,,0,1)=0,"",(_xlfn.XLOOKUP(C350,customers!$A$1:$A$1001,customers!$C$1:$C$1001,,0,1)))</f>
        <v>skeynd9o@narod.ru</v>
      </c>
      <c r="H350" s="2" t="str">
        <f>_xlfn.XLOOKUP(C350,customers!$A$1:$A$1001,customers!$G$1:$G$1001,,0,1)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6">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ID]],customers!$A$1:$A$1001,customers!$I$1:$I$1001,"",0,1)</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IF(_xlfn.XLOOKUP(C351,customers!$A$1:$A$1001,customers!$C$1:$C$1001,,0,1)=0,"",(_xlfn.XLOOKUP(C351,customers!$A$1:$A$1001,customers!$C$1:$C$1001,,0,1)))</f>
        <v>ddaveridge9p@arstechnica.com</v>
      </c>
      <c r="H351" s="2" t="str">
        <f>_xlfn.XLOOKUP(C351,customers!$A$1:$A$1001,customers!$G$1:$G$1001,,0,1)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6">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ID]],customers!$A$1:$A$1001,customers!$I$1:$I$1001,"",0,1)</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IF(_xlfn.XLOOKUP(C352,customers!$A$1:$A$1001,customers!$C$1:$C$1001,,0,1)=0,"",(_xlfn.XLOOKUP(C352,customers!$A$1:$A$1001,customers!$C$1:$C$1001,,0,1)))</f>
        <v>jawdry9q@utexas.edu</v>
      </c>
      <c r="H352" s="2" t="str">
        <f>_xlfn.XLOOKUP(C352,customers!$A$1:$A$1001,customers!$G$1:$G$1001,,0,1)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6">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ID]],customers!$A$1:$A$1001,customers!$I$1:$I$1001,"",0,1)</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IF(_xlfn.XLOOKUP(C353,customers!$A$1:$A$1001,customers!$C$1:$C$1001,,0,1)=0,"",(_xlfn.XLOOKUP(C353,customers!$A$1:$A$1001,customers!$C$1:$C$1001,,0,1)))</f>
        <v>eryles9r@fastcompany.com</v>
      </c>
      <c r="H353" s="2" t="str">
        <f>_xlfn.XLOOKUP(C353,customers!$A$1:$A$1001,customers!$G$1:$G$1001,,0,1)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6">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ID]],customers!$A$1:$A$1001,customers!$I$1:$I$1001,"",0,1)</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IF(_xlfn.XLOOKUP(C354,customers!$A$1:$A$1001,customers!$C$1:$C$1001,,0,1)=0,"",(_xlfn.XLOOKUP(C354,customers!$A$1:$A$1001,customers!$C$1:$C$1001,,0,1)))</f>
        <v/>
      </c>
      <c r="H354" s="2" t="str">
        <f>_xlfn.XLOOKUP(C354,customers!$A$1:$A$1001,customers!$G$1:$G$1001,,0,1)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6">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ID]],customers!$A$1:$A$1001,customers!$I$1:$I$1001,"",0,1)</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IF(_xlfn.XLOOKUP(C355,customers!$A$1:$A$1001,customers!$C$1:$C$1001,,0,1)=0,"",(_xlfn.XLOOKUP(C355,customers!$A$1:$A$1001,customers!$C$1:$C$1001,,0,1)))</f>
        <v/>
      </c>
      <c r="H355" s="2" t="str">
        <f>_xlfn.XLOOKUP(C355,customers!$A$1:$A$1001,customers!$G$1:$G$1001,,0,1)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6">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ID]],customers!$A$1:$A$1001,customers!$I$1:$I$1001,"",0,1)</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IF(_xlfn.XLOOKUP(C356,customers!$A$1:$A$1001,customers!$C$1:$C$1001,,0,1)=0,"",(_xlfn.XLOOKUP(C356,customers!$A$1:$A$1001,customers!$C$1:$C$1001,,0,1)))</f>
        <v>jcaldicott9u@usda.gov</v>
      </c>
      <c r="H356" s="2" t="str">
        <f>_xlfn.XLOOKUP(C356,customers!$A$1:$A$1001,customers!$G$1:$G$1001,,0,1)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6">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ID]],customers!$A$1:$A$1001,customers!$I$1:$I$1001,"",0,1)</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IF(_xlfn.XLOOKUP(C357,customers!$A$1:$A$1001,customers!$C$1:$C$1001,,0,1)=0,"",(_xlfn.XLOOKUP(C357,customers!$A$1:$A$1001,customers!$C$1:$C$1001,,0,1)))</f>
        <v>mvedmore9v@a8.net</v>
      </c>
      <c r="H357" s="2" t="str">
        <f>_xlfn.XLOOKUP(C357,customers!$A$1:$A$1001,customers!$G$1:$G$1001,,0,1)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6">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ID]],customers!$A$1:$A$1001,customers!$I$1:$I$1001,"",0,1)</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IF(_xlfn.XLOOKUP(C358,customers!$A$1:$A$1001,customers!$C$1:$C$1001,,0,1)=0,"",(_xlfn.XLOOKUP(C358,customers!$A$1:$A$1001,customers!$C$1:$C$1001,,0,1)))</f>
        <v>wromao9w@chronoengine.com</v>
      </c>
      <c r="H358" s="2" t="str">
        <f>_xlfn.XLOOKUP(C358,customers!$A$1:$A$1001,customers!$G$1:$G$1001,,0,1)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6">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ID]],customers!$A$1:$A$1001,customers!$I$1:$I$1001,"",0,1)</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IF(_xlfn.XLOOKUP(C359,customers!$A$1:$A$1001,customers!$C$1:$C$1001,,0,1)=0,"",(_xlfn.XLOOKUP(C359,customers!$A$1:$A$1001,customers!$C$1:$C$1001,,0,1)))</f>
        <v/>
      </c>
      <c r="H359" s="2" t="str">
        <f>_xlfn.XLOOKUP(C359,customers!$A$1:$A$1001,customers!$G$1:$G$1001,,0,1)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6">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ID]],customers!$A$1:$A$1001,customers!$I$1:$I$1001,"",0,1)</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IF(_xlfn.XLOOKUP(C360,customers!$A$1:$A$1001,customers!$C$1:$C$1001,,0,1)=0,"",(_xlfn.XLOOKUP(C360,customers!$A$1:$A$1001,customers!$C$1:$C$1001,,0,1)))</f>
        <v>tcotmore9y@amazonaws.com</v>
      </c>
      <c r="H360" s="2" t="str">
        <f>_xlfn.XLOOKUP(C360,customers!$A$1:$A$1001,customers!$G$1:$G$1001,,0,1)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6">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ID]],customers!$A$1:$A$1001,customers!$I$1:$I$1001,"",0,1)</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IF(_xlfn.XLOOKUP(C361,customers!$A$1:$A$1001,customers!$C$1:$C$1001,,0,1)=0,"",(_xlfn.XLOOKUP(C361,customers!$A$1:$A$1001,customers!$C$1:$C$1001,,0,1)))</f>
        <v>yskipsey9z@spotify.com</v>
      </c>
      <c r="H361" s="2" t="str">
        <f>_xlfn.XLOOKUP(C361,customers!$A$1:$A$1001,customers!$G$1:$G$1001,,0,1)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6">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ID]],customers!$A$1:$A$1001,customers!$I$1:$I$1001,"",0,1)</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IF(_xlfn.XLOOKUP(C362,customers!$A$1:$A$1001,customers!$C$1:$C$1001,,0,1)=0,"",(_xlfn.XLOOKUP(C362,customers!$A$1:$A$1001,customers!$C$1:$C$1001,,0,1)))</f>
        <v>ncorpsa0@gmpg.org</v>
      </c>
      <c r="H362" s="2" t="str">
        <f>_xlfn.XLOOKUP(C362,customers!$A$1:$A$1001,customers!$G$1:$G$1001,,0,1)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6">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ID]],customers!$A$1:$A$1001,customers!$I$1:$I$1001,"",0,1)</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IF(_xlfn.XLOOKUP(C363,customers!$A$1:$A$1001,customers!$C$1:$C$1001,,0,1)=0,"",(_xlfn.XLOOKUP(C363,customers!$A$1:$A$1001,customers!$C$1:$C$1001,,0,1)))</f>
        <v>ncorpsa0@gmpg.org</v>
      </c>
      <c r="H363" s="2" t="str">
        <f>_xlfn.XLOOKUP(C363,customers!$A$1:$A$1001,customers!$G$1:$G$1001,,0,1)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6">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ID]],customers!$A$1:$A$1001,customers!$I$1:$I$1001,"",0,1)</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IF(_xlfn.XLOOKUP(C364,customers!$A$1:$A$1001,customers!$C$1:$C$1001,,0,1)=0,"",(_xlfn.XLOOKUP(C364,customers!$A$1:$A$1001,customers!$C$1:$C$1001,,0,1)))</f>
        <v>fbabbera2@stanford.edu</v>
      </c>
      <c r="H364" s="2" t="str">
        <f>_xlfn.XLOOKUP(C364,customers!$A$1:$A$1001,customers!$G$1:$G$1001,,0,1)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6">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ID]],customers!$A$1:$A$1001,customers!$I$1:$I$1001,"",0,1)</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IF(_xlfn.XLOOKUP(C365,customers!$A$1:$A$1001,customers!$C$1:$C$1001,,0,1)=0,"",(_xlfn.XLOOKUP(C365,customers!$A$1:$A$1001,customers!$C$1:$C$1001,,0,1)))</f>
        <v>kloxtona3@opensource.org</v>
      </c>
      <c r="H365" s="2" t="str">
        <f>_xlfn.XLOOKUP(C365,customers!$A$1:$A$1001,customers!$G$1:$G$1001,,0,1)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6">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ID]],customers!$A$1:$A$1001,customers!$I$1:$I$1001,"",0,1)</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IF(_xlfn.XLOOKUP(C366,customers!$A$1:$A$1001,customers!$C$1:$C$1001,,0,1)=0,"",(_xlfn.XLOOKUP(C366,customers!$A$1:$A$1001,customers!$C$1:$C$1001,,0,1)))</f>
        <v>ptoffula4@posterous.com</v>
      </c>
      <c r="H366" s="2" t="str">
        <f>_xlfn.XLOOKUP(C366,customers!$A$1:$A$1001,customers!$G$1:$G$1001,,0,1)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6">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ID]],customers!$A$1:$A$1001,customers!$I$1:$I$1001,"",0,1)</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IF(_xlfn.XLOOKUP(C367,customers!$A$1:$A$1001,customers!$C$1:$C$1001,,0,1)=0,"",(_xlfn.XLOOKUP(C367,customers!$A$1:$A$1001,customers!$C$1:$C$1001,,0,1)))</f>
        <v>cgwinnetta5@behance.net</v>
      </c>
      <c r="H367" s="2" t="str">
        <f>_xlfn.XLOOKUP(C367,customers!$A$1:$A$1001,customers!$G$1:$G$1001,,0,1)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6">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ID]],customers!$A$1:$A$1001,customers!$I$1:$I$1001,"",0,1)</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IF(_xlfn.XLOOKUP(C368,customers!$A$1:$A$1001,customers!$C$1:$C$1001,,0,1)=0,"",(_xlfn.XLOOKUP(C368,customers!$A$1:$A$1001,customers!$C$1:$C$1001,,0,1)))</f>
        <v/>
      </c>
      <c r="H368" s="2" t="str">
        <f>_xlfn.XLOOKUP(C368,customers!$A$1:$A$1001,customers!$G$1:$G$1001,,0,1)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6">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ID]],customers!$A$1:$A$1001,customers!$I$1:$I$1001,"",0,1)</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IF(_xlfn.XLOOKUP(C369,customers!$A$1:$A$1001,customers!$C$1:$C$1001,,0,1)=0,"",(_xlfn.XLOOKUP(C369,customers!$A$1:$A$1001,customers!$C$1:$C$1001,,0,1)))</f>
        <v/>
      </c>
      <c r="H369" s="2" t="str">
        <f>_xlfn.XLOOKUP(C369,customers!$A$1:$A$1001,customers!$G$1:$G$1001,,0,1)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6">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ID]],customers!$A$1:$A$1001,customers!$I$1:$I$1001,"",0,1)</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IF(_xlfn.XLOOKUP(C370,customers!$A$1:$A$1001,customers!$C$1:$C$1001,,0,1)=0,"",(_xlfn.XLOOKUP(C370,customers!$A$1:$A$1001,customers!$C$1:$C$1001,,0,1)))</f>
        <v>lflaoniera8@wordpress.org</v>
      </c>
      <c r="H370" s="2" t="str">
        <f>_xlfn.XLOOKUP(C370,customers!$A$1:$A$1001,customers!$G$1:$G$1001,,0,1)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6">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ID]],customers!$A$1:$A$1001,customers!$I$1:$I$1001,"",0,1)</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IF(_xlfn.XLOOKUP(C371,customers!$A$1:$A$1001,customers!$C$1:$C$1001,,0,1)=0,"",(_xlfn.XLOOKUP(C371,customers!$A$1:$A$1001,customers!$C$1:$C$1001,,0,1)))</f>
        <v/>
      </c>
      <c r="H371" s="2" t="str">
        <f>_xlfn.XLOOKUP(C371,customers!$A$1:$A$1001,customers!$G$1:$G$1001,,0,1)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6">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ID]],customers!$A$1:$A$1001,customers!$I$1:$I$1001,"",0,1)</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IF(_xlfn.XLOOKUP(C372,customers!$A$1:$A$1001,customers!$C$1:$C$1001,,0,1)=0,"",(_xlfn.XLOOKUP(C372,customers!$A$1:$A$1001,customers!$C$1:$C$1001,,0,1)))</f>
        <v>ccatchesideaa@macromedia.com</v>
      </c>
      <c r="H372" s="2" t="str">
        <f>_xlfn.XLOOKUP(C372,customers!$A$1:$A$1001,customers!$G$1:$G$1001,,0,1)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6">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ID]],customers!$A$1:$A$1001,customers!$I$1:$I$1001,"",0,1)</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IF(_xlfn.XLOOKUP(C373,customers!$A$1:$A$1001,customers!$C$1:$C$1001,,0,1)=0,"",(_xlfn.XLOOKUP(C373,customers!$A$1:$A$1001,customers!$C$1:$C$1001,,0,1)))</f>
        <v>cgibbonsonab@accuweather.com</v>
      </c>
      <c r="H373" s="2" t="str">
        <f>_xlfn.XLOOKUP(C373,customers!$A$1:$A$1001,customers!$G$1:$G$1001,,0,1)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6">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ID]],customers!$A$1:$A$1001,customers!$I$1:$I$1001,"",0,1)</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IF(_xlfn.XLOOKUP(C374,customers!$A$1:$A$1001,customers!$C$1:$C$1001,,0,1)=0,"",(_xlfn.XLOOKUP(C374,customers!$A$1:$A$1001,customers!$C$1:$C$1001,,0,1)))</f>
        <v>tfarraac@behance.net</v>
      </c>
      <c r="H374" s="2" t="str">
        <f>_xlfn.XLOOKUP(C374,customers!$A$1:$A$1001,customers!$G$1:$G$1001,,0,1)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6">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ID]],customers!$A$1:$A$1001,customers!$I$1:$I$1001,"",0,1)</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IF(_xlfn.XLOOKUP(C375,customers!$A$1:$A$1001,customers!$C$1:$C$1001,,0,1)=0,"",(_xlfn.XLOOKUP(C375,customers!$A$1:$A$1001,customers!$C$1:$C$1001,,0,1)))</f>
        <v/>
      </c>
      <c r="H375" s="2" t="str">
        <f>_xlfn.XLOOKUP(C375,customers!$A$1:$A$1001,customers!$G$1:$G$1001,,0,1)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6">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ID]],customers!$A$1:$A$1001,customers!$I$1:$I$1001,"",0,1)</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IF(_xlfn.XLOOKUP(C376,customers!$A$1:$A$1001,customers!$C$1:$C$1001,,0,1)=0,"",(_xlfn.XLOOKUP(C376,customers!$A$1:$A$1001,customers!$C$1:$C$1001,,0,1)))</f>
        <v>gbamfieldae@yellowpages.com</v>
      </c>
      <c r="H376" s="2" t="str">
        <f>_xlfn.XLOOKUP(C376,customers!$A$1:$A$1001,customers!$G$1:$G$1001,,0,1)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6">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ID]],customers!$A$1:$A$1001,customers!$I$1:$I$1001,"",0,1)</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IF(_xlfn.XLOOKUP(C377,customers!$A$1:$A$1001,customers!$C$1:$C$1001,,0,1)=0,"",(_xlfn.XLOOKUP(C377,customers!$A$1:$A$1001,customers!$C$1:$C$1001,,0,1)))</f>
        <v>whollingdaleaf@about.me</v>
      </c>
      <c r="H377" s="2" t="str">
        <f>_xlfn.XLOOKUP(C377,customers!$A$1:$A$1001,customers!$G$1:$G$1001,,0,1)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6">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ID]],customers!$A$1:$A$1001,customers!$I$1:$I$1001,"",0,1)</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IF(_xlfn.XLOOKUP(C378,customers!$A$1:$A$1001,customers!$C$1:$C$1001,,0,1)=0,"",(_xlfn.XLOOKUP(C378,customers!$A$1:$A$1001,customers!$C$1:$C$1001,,0,1)))</f>
        <v>jdeag@xrea.com</v>
      </c>
      <c r="H378" s="2" t="str">
        <f>_xlfn.XLOOKUP(C378,customers!$A$1:$A$1001,customers!$G$1:$G$1001,,0,1)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6">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ID]],customers!$A$1:$A$1001,customers!$I$1:$I$1001,"",0,1)</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IF(_xlfn.XLOOKUP(C379,customers!$A$1:$A$1001,customers!$C$1:$C$1001,,0,1)=0,"",(_xlfn.XLOOKUP(C379,customers!$A$1:$A$1001,customers!$C$1:$C$1001,,0,1)))</f>
        <v>vskulletah@tinyurl.com</v>
      </c>
      <c r="H379" s="2" t="str">
        <f>_xlfn.XLOOKUP(C379,customers!$A$1:$A$1001,customers!$G$1:$G$1001,,0,1)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6">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ID]],customers!$A$1:$A$1001,customers!$I$1:$I$1001,"",0,1)</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IF(_xlfn.XLOOKUP(C380,customers!$A$1:$A$1001,customers!$C$1:$C$1001,,0,1)=0,"",(_xlfn.XLOOKUP(C380,customers!$A$1:$A$1001,customers!$C$1:$C$1001,,0,1)))</f>
        <v>jrudeforthai@wunderground.com</v>
      </c>
      <c r="H380" s="2" t="str">
        <f>_xlfn.XLOOKUP(C380,customers!$A$1:$A$1001,customers!$G$1:$G$1001,,0,1)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6">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ID]],customers!$A$1:$A$1001,customers!$I$1:$I$1001,"",0,1)</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IF(_xlfn.XLOOKUP(C381,customers!$A$1:$A$1001,customers!$C$1:$C$1001,,0,1)=0,"",(_xlfn.XLOOKUP(C381,customers!$A$1:$A$1001,customers!$C$1:$C$1001,,0,1)))</f>
        <v>atomaszewskiaj@answers.com</v>
      </c>
      <c r="H381" s="2" t="str">
        <f>_xlfn.XLOOKUP(C381,customers!$A$1:$A$1001,customers!$G$1:$G$1001,,0,1)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6">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ID]],customers!$A$1:$A$1001,customers!$I$1:$I$1001,"",0,1)</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IF(_xlfn.XLOOKUP(C382,customers!$A$1:$A$1001,customers!$C$1:$C$1001,,0,1)=0,"",(_xlfn.XLOOKUP(C382,customers!$A$1:$A$1001,customers!$C$1:$C$1001,,0,1)))</f>
        <v/>
      </c>
      <c r="H382" s="2" t="str">
        <f>_xlfn.XLOOKUP(C382,customers!$A$1:$A$1001,customers!$G$1:$G$1001,,0,1)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6">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ID]],customers!$A$1:$A$1001,customers!$I$1:$I$1001,"",0,1)</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IF(_xlfn.XLOOKUP(C383,customers!$A$1:$A$1001,customers!$C$1:$C$1001,,0,1)=0,"",(_xlfn.XLOOKUP(C383,customers!$A$1:$A$1001,customers!$C$1:$C$1001,,0,1)))</f>
        <v>pbessal@qq.com</v>
      </c>
      <c r="H383" s="2" t="str">
        <f>_xlfn.XLOOKUP(C383,customers!$A$1:$A$1001,customers!$G$1:$G$1001,,0,1)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6">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ID]],customers!$A$1:$A$1001,customers!$I$1:$I$1001,"",0,1)</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IF(_xlfn.XLOOKUP(C384,customers!$A$1:$A$1001,customers!$C$1:$C$1001,,0,1)=0,"",(_xlfn.XLOOKUP(C384,customers!$A$1:$A$1001,customers!$C$1:$C$1001,,0,1)))</f>
        <v>ewindressam@marketwatch.com</v>
      </c>
      <c r="H384" s="2" t="str">
        <f>_xlfn.XLOOKUP(C384,customers!$A$1:$A$1001,customers!$G$1:$G$1001,,0,1)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6">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ID]],customers!$A$1:$A$1001,customers!$I$1:$I$1001,"",0,1)</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IF(_xlfn.XLOOKUP(C385,customers!$A$1:$A$1001,customers!$C$1:$C$1001,,0,1)=0,"",(_xlfn.XLOOKUP(C385,customers!$A$1:$A$1001,customers!$C$1:$C$1001,,0,1)))</f>
        <v/>
      </c>
      <c r="H385" s="2" t="str">
        <f>_xlfn.XLOOKUP(C385,customers!$A$1:$A$1001,customers!$G$1:$G$1001,,0,1)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6">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ID]],customers!$A$1:$A$1001,customers!$I$1:$I$1001,"",0,1)</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IF(_xlfn.XLOOKUP(C386,customers!$A$1:$A$1001,customers!$C$1:$C$1001,,0,1)=0,"",(_xlfn.XLOOKUP(C386,customers!$A$1:$A$1001,customers!$C$1:$C$1001,,0,1)))</f>
        <v/>
      </c>
      <c r="H386" s="2" t="str">
        <f>_xlfn.XLOOKUP(C386,customers!$A$1:$A$1001,customers!$G$1:$G$1001,,0,1)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6">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ID]],customers!$A$1:$A$1001,customers!$I$1:$I$1001,"",0,1)</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IF(_xlfn.XLOOKUP(C387,customers!$A$1:$A$1001,customers!$C$1:$C$1001,,0,1)=0,"",(_xlfn.XLOOKUP(C387,customers!$A$1:$A$1001,customers!$C$1:$C$1001,,0,1)))</f>
        <v>vbaumadierap@google.cn</v>
      </c>
      <c r="H387" s="2" t="str">
        <f>_xlfn.XLOOKUP(C387,customers!$A$1:$A$1001,customers!$G$1:$G$1001,,0,1)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6">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ID]],customers!$A$1:$A$1001,customers!$I$1:$I$1001,"",0,1)</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IF(_xlfn.XLOOKUP(C388,customers!$A$1:$A$1001,customers!$C$1:$C$1001,,0,1)=0,"",(_xlfn.XLOOKUP(C388,customers!$A$1:$A$1001,customers!$C$1:$C$1001,,0,1)))</f>
        <v/>
      </c>
      <c r="H388" s="2" t="str">
        <f>_xlfn.XLOOKUP(C388,customers!$A$1:$A$1001,customers!$G$1:$G$1001,,0,1)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6">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ID]],customers!$A$1:$A$1001,customers!$I$1:$I$1001,"",0,1)</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IF(_xlfn.XLOOKUP(C389,customers!$A$1:$A$1001,customers!$C$1:$C$1001,,0,1)=0,"",(_xlfn.XLOOKUP(C389,customers!$A$1:$A$1001,customers!$C$1:$C$1001,,0,1)))</f>
        <v>sweldsar@wired.com</v>
      </c>
      <c r="H389" s="2" t="str">
        <f>_xlfn.XLOOKUP(C389,customers!$A$1:$A$1001,customers!$G$1:$G$1001,,0,1)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6">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ID]],customers!$A$1:$A$1001,customers!$I$1:$I$1001,"",0,1)</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IF(_xlfn.XLOOKUP(C390,customers!$A$1:$A$1001,customers!$C$1:$C$1001,,0,1)=0,"",(_xlfn.XLOOKUP(C390,customers!$A$1:$A$1001,customers!$C$1:$C$1001,,0,1)))</f>
        <v>msarvaras@artisteer.com</v>
      </c>
      <c r="H390" s="2" t="str">
        <f>_xlfn.XLOOKUP(C390,customers!$A$1:$A$1001,customers!$G$1:$G$1001,,0,1)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6">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ID]],customers!$A$1:$A$1001,customers!$I$1:$I$1001,"",0,1)</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IF(_xlfn.XLOOKUP(C391,customers!$A$1:$A$1001,customers!$C$1:$C$1001,,0,1)=0,"",(_xlfn.XLOOKUP(C391,customers!$A$1:$A$1001,customers!$C$1:$C$1001,,0,1)))</f>
        <v>ahavickat@nsw.gov.au</v>
      </c>
      <c r="H391" s="2" t="str">
        <f>_xlfn.XLOOKUP(C391,customers!$A$1:$A$1001,customers!$G$1:$G$1001,,0,1)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6">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ID]],customers!$A$1:$A$1001,customers!$I$1:$I$1001,"",0,1)</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IF(_xlfn.XLOOKUP(C392,customers!$A$1:$A$1001,customers!$C$1:$C$1001,,0,1)=0,"",(_xlfn.XLOOKUP(C392,customers!$A$1:$A$1001,customers!$C$1:$C$1001,,0,1)))</f>
        <v>sdivinyau@ask.com</v>
      </c>
      <c r="H392" s="2" t="str">
        <f>_xlfn.XLOOKUP(C392,customers!$A$1:$A$1001,customers!$G$1:$G$1001,,0,1)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6">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ID]],customers!$A$1:$A$1001,customers!$I$1:$I$1001,"",0,1)</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IF(_xlfn.XLOOKUP(C393,customers!$A$1:$A$1001,customers!$C$1:$C$1001,,0,1)=0,"",(_xlfn.XLOOKUP(C393,customers!$A$1:$A$1001,customers!$C$1:$C$1001,,0,1)))</f>
        <v>inorquoyav@businessweek.com</v>
      </c>
      <c r="H393" s="2" t="str">
        <f>_xlfn.XLOOKUP(C393,customers!$A$1:$A$1001,customers!$G$1:$G$1001,,0,1)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6">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ID]],customers!$A$1:$A$1001,customers!$I$1:$I$1001,"",0,1)</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IF(_xlfn.XLOOKUP(C394,customers!$A$1:$A$1001,customers!$C$1:$C$1001,,0,1)=0,"",(_xlfn.XLOOKUP(C394,customers!$A$1:$A$1001,customers!$C$1:$C$1001,,0,1)))</f>
        <v>aiddisonaw@usa.gov</v>
      </c>
      <c r="H394" s="2" t="str">
        <f>_xlfn.XLOOKUP(C394,customers!$A$1:$A$1001,customers!$G$1:$G$1001,,0,1)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6">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ID]],customers!$A$1:$A$1001,customers!$I$1:$I$1001,"",0,1)</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IF(_xlfn.XLOOKUP(C395,customers!$A$1:$A$1001,customers!$C$1:$C$1001,,0,1)=0,"",(_xlfn.XLOOKUP(C395,customers!$A$1:$A$1001,customers!$C$1:$C$1001,,0,1)))</f>
        <v>aiddisonaw@usa.gov</v>
      </c>
      <c r="H395" s="2" t="str">
        <f>_xlfn.XLOOKUP(C395,customers!$A$1:$A$1001,customers!$G$1:$G$1001,,0,1)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6">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ID]],customers!$A$1:$A$1001,customers!$I$1:$I$1001,"",0,1)</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IF(_xlfn.XLOOKUP(C396,customers!$A$1:$A$1001,customers!$C$1:$C$1001,,0,1)=0,"",(_xlfn.XLOOKUP(C396,customers!$A$1:$A$1001,customers!$C$1:$C$1001,,0,1)))</f>
        <v>rlongfielday@bluehost.com</v>
      </c>
      <c r="H396" s="2" t="str">
        <f>_xlfn.XLOOKUP(C396,customers!$A$1:$A$1001,customers!$G$1:$G$1001,,0,1)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6">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ID]],customers!$A$1:$A$1001,customers!$I$1:$I$1001,"",0,1)</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IF(_xlfn.XLOOKUP(C397,customers!$A$1:$A$1001,customers!$C$1:$C$1001,,0,1)=0,"",(_xlfn.XLOOKUP(C397,customers!$A$1:$A$1001,customers!$C$1:$C$1001,,0,1)))</f>
        <v>gkislingburyaz@samsung.com</v>
      </c>
      <c r="H397" s="2" t="str">
        <f>_xlfn.XLOOKUP(C397,customers!$A$1:$A$1001,customers!$G$1:$G$1001,,0,1)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6">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ID]],customers!$A$1:$A$1001,customers!$I$1:$I$1001,"",0,1)</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IF(_xlfn.XLOOKUP(C398,customers!$A$1:$A$1001,customers!$C$1:$C$1001,,0,1)=0,"",(_xlfn.XLOOKUP(C398,customers!$A$1:$A$1001,customers!$C$1:$C$1001,,0,1)))</f>
        <v>xgibbonsb0@artisteer.com</v>
      </c>
      <c r="H398" s="2" t="str">
        <f>_xlfn.XLOOKUP(C398,customers!$A$1:$A$1001,customers!$G$1:$G$1001,,0,1)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6">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ID]],customers!$A$1:$A$1001,customers!$I$1:$I$1001,"",0,1)</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IF(_xlfn.XLOOKUP(C399,customers!$A$1:$A$1001,customers!$C$1:$C$1001,,0,1)=0,"",(_xlfn.XLOOKUP(C399,customers!$A$1:$A$1001,customers!$C$1:$C$1001,,0,1)))</f>
        <v>fparresb1@imageshack.us</v>
      </c>
      <c r="H399" s="2" t="str">
        <f>_xlfn.XLOOKUP(C399,customers!$A$1:$A$1001,customers!$G$1:$G$1001,,0,1)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6">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ID]],customers!$A$1:$A$1001,customers!$I$1:$I$1001,"",0,1)</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IF(_xlfn.XLOOKUP(C400,customers!$A$1:$A$1001,customers!$C$1:$C$1001,,0,1)=0,"",(_xlfn.XLOOKUP(C400,customers!$A$1:$A$1001,customers!$C$1:$C$1001,,0,1)))</f>
        <v>gsibrayb2@wsj.com</v>
      </c>
      <c r="H400" s="2" t="str">
        <f>_xlfn.XLOOKUP(C400,customers!$A$1:$A$1001,customers!$G$1:$G$1001,,0,1)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6">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ID]],customers!$A$1:$A$1001,customers!$I$1:$I$1001,"",0,1)</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IF(_xlfn.XLOOKUP(C401,customers!$A$1:$A$1001,customers!$C$1:$C$1001,,0,1)=0,"",(_xlfn.XLOOKUP(C401,customers!$A$1:$A$1001,customers!$C$1:$C$1001,,0,1)))</f>
        <v>ihotchkinb3@mit.edu</v>
      </c>
      <c r="H401" s="2" t="str">
        <f>_xlfn.XLOOKUP(C401,customers!$A$1:$A$1001,customers!$G$1:$G$1001,,0,1)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6">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ID]],customers!$A$1:$A$1001,customers!$I$1:$I$1001,"",0,1)</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IF(_xlfn.XLOOKUP(C402,customers!$A$1:$A$1001,customers!$C$1:$C$1001,,0,1)=0,"",(_xlfn.XLOOKUP(C402,customers!$A$1:$A$1001,customers!$C$1:$C$1001,,0,1)))</f>
        <v>nbroadberrieb4@gnu.org</v>
      </c>
      <c r="H402" s="2" t="str">
        <f>_xlfn.XLOOKUP(C402,customers!$A$1:$A$1001,customers!$G$1:$G$1001,,0,1)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6">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ID]],customers!$A$1:$A$1001,customers!$I$1:$I$1001,"",0,1)</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IF(_xlfn.XLOOKUP(C403,customers!$A$1:$A$1001,customers!$C$1:$C$1001,,0,1)=0,"",(_xlfn.XLOOKUP(C403,customers!$A$1:$A$1001,customers!$C$1:$C$1001,,0,1)))</f>
        <v>rpithcockb5@yellowbook.com</v>
      </c>
      <c r="H403" s="2" t="str">
        <f>_xlfn.XLOOKUP(C403,customers!$A$1:$A$1001,customers!$G$1:$G$1001,,0,1)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6">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ID]],customers!$A$1:$A$1001,customers!$I$1:$I$1001,"",0,1)</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IF(_xlfn.XLOOKUP(C404,customers!$A$1:$A$1001,customers!$C$1:$C$1001,,0,1)=0,"",(_xlfn.XLOOKUP(C404,customers!$A$1:$A$1001,customers!$C$1:$C$1001,,0,1)))</f>
        <v>gcroysdaleb6@nih.gov</v>
      </c>
      <c r="H404" s="2" t="str">
        <f>_xlfn.XLOOKUP(C404,customers!$A$1:$A$1001,customers!$G$1:$G$1001,,0,1)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6">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ID]],customers!$A$1:$A$1001,customers!$I$1:$I$1001,"",0,1)</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IF(_xlfn.XLOOKUP(C405,customers!$A$1:$A$1001,customers!$C$1:$C$1001,,0,1)=0,"",(_xlfn.XLOOKUP(C405,customers!$A$1:$A$1001,customers!$C$1:$C$1001,,0,1)))</f>
        <v>bgozzettb7@github.com</v>
      </c>
      <c r="H405" s="2" t="str">
        <f>_xlfn.XLOOKUP(C405,customers!$A$1:$A$1001,customers!$G$1:$G$1001,,0,1)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6">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ID]],customers!$A$1:$A$1001,customers!$I$1:$I$1001,"",0,1)</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IF(_xlfn.XLOOKUP(C406,customers!$A$1:$A$1001,customers!$C$1:$C$1001,,0,1)=0,"",(_xlfn.XLOOKUP(C406,customers!$A$1:$A$1001,customers!$C$1:$C$1001,,0,1)))</f>
        <v>tcraggsb8@house.gov</v>
      </c>
      <c r="H406" s="2" t="str">
        <f>_xlfn.XLOOKUP(C406,customers!$A$1:$A$1001,customers!$G$1:$G$1001,,0,1)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6">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ID]],customers!$A$1:$A$1001,customers!$I$1:$I$1001,"",0,1)</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IF(_xlfn.XLOOKUP(C407,customers!$A$1:$A$1001,customers!$C$1:$C$1001,,0,1)=0,"",(_xlfn.XLOOKUP(C407,customers!$A$1:$A$1001,customers!$C$1:$C$1001,,0,1)))</f>
        <v>lcullrfordb9@xing.com</v>
      </c>
      <c r="H407" s="2" t="str">
        <f>_xlfn.XLOOKUP(C407,customers!$A$1:$A$1001,customers!$G$1:$G$1001,,0,1)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6">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ID]],customers!$A$1:$A$1001,customers!$I$1:$I$1001,"",0,1)</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IF(_xlfn.XLOOKUP(C408,customers!$A$1:$A$1001,customers!$C$1:$C$1001,,0,1)=0,"",(_xlfn.XLOOKUP(C408,customers!$A$1:$A$1001,customers!$C$1:$C$1001,,0,1)))</f>
        <v>arizonba@xing.com</v>
      </c>
      <c r="H408" s="2" t="str">
        <f>_xlfn.XLOOKUP(C408,customers!$A$1:$A$1001,customers!$G$1:$G$1001,,0,1)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6">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ID]],customers!$A$1:$A$1001,customers!$I$1:$I$1001,"",0,1)</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IF(_xlfn.XLOOKUP(C409,customers!$A$1:$A$1001,customers!$C$1:$C$1001,,0,1)=0,"",(_xlfn.XLOOKUP(C409,customers!$A$1:$A$1001,customers!$C$1:$C$1001,,0,1)))</f>
        <v/>
      </c>
      <c r="H409" s="2" t="str">
        <f>_xlfn.XLOOKUP(C409,customers!$A$1:$A$1001,customers!$G$1:$G$1001,,0,1)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6">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ID]],customers!$A$1:$A$1001,customers!$I$1:$I$1001,"",0,1)</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IF(_xlfn.XLOOKUP(C410,customers!$A$1:$A$1001,customers!$C$1:$C$1001,,0,1)=0,"",(_xlfn.XLOOKUP(C410,customers!$A$1:$A$1001,customers!$C$1:$C$1001,,0,1)))</f>
        <v>fmiellbc@spiegel.de</v>
      </c>
      <c r="H410" s="2" t="str">
        <f>_xlfn.XLOOKUP(C410,customers!$A$1:$A$1001,customers!$G$1:$G$1001,,0,1)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6">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ID]],customers!$A$1:$A$1001,customers!$I$1:$I$1001,"",0,1)</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IF(_xlfn.XLOOKUP(C411,customers!$A$1:$A$1001,customers!$C$1:$C$1001,,0,1)=0,"",(_xlfn.XLOOKUP(C411,customers!$A$1:$A$1001,customers!$C$1:$C$1001,,0,1)))</f>
        <v/>
      </c>
      <c r="H411" s="2" t="str">
        <f>_xlfn.XLOOKUP(C411,customers!$A$1:$A$1001,customers!$G$1:$G$1001,,0,1)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6">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ID]],customers!$A$1:$A$1001,customers!$I$1:$I$1001,"",0,1)</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IF(_xlfn.XLOOKUP(C412,customers!$A$1:$A$1001,customers!$C$1:$C$1001,,0,1)=0,"",(_xlfn.XLOOKUP(C412,customers!$A$1:$A$1001,customers!$C$1:$C$1001,,0,1)))</f>
        <v/>
      </c>
      <c r="H412" s="2" t="str">
        <f>_xlfn.XLOOKUP(C412,customers!$A$1:$A$1001,customers!$G$1:$G$1001,,0,1)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6">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ID]],customers!$A$1:$A$1001,customers!$I$1:$I$1001,"",0,1)</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IF(_xlfn.XLOOKUP(C413,customers!$A$1:$A$1001,customers!$C$1:$C$1001,,0,1)=0,"",(_xlfn.XLOOKUP(C413,customers!$A$1:$A$1001,customers!$C$1:$C$1001,,0,1)))</f>
        <v/>
      </c>
      <c r="H413" s="2" t="str">
        <f>_xlfn.XLOOKUP(C413,customers!$A$1:$A$1001,customers!$G$1:$G$1001,,0,1)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6">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ID]],customers!$A$1:$A$1001,customers!$I$1:$I$1001,"",0,1)</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IF(_xlfn.XLOOKUP(C414,customers!$A$1:$A$1001,customers!$C$1:$C$1001,,0,1)=0,"",(_xlfn.XLOOKUP(C414,customers!$A$1:$A$1001,customers!$C$1:$C$1001,,0,1)))</f>
        <v/>
      </c>
      <c r="H414" s="2" t="str">
        <f>_xlfn.XLOOKUP(C414,customers!$A$1:$A$1001,customers!$G$1:$G$1001,,0,1)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6">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ID]],customers!$A$1:$A$1001,customers!$I$1:$I$1001,"",0,1)</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IF(_xlfn.XLOOKUP(C415,customers!$A$1:$A$1001,customers!$C$1:$C$1001,,0,1)=0,"",(_xlfn.XLOOKUP(C415,customers!$A$1:$A$1001,customers!$C$1:$C$1001,,0,1)))</f>
        <v>wspringallbh@jugem.jp</v>
      </c>
      <c r="H415" s="2" t="str">
        <f>_xlfn.XLOOKUP(C415,customers!$A$1:$A$1001,customers!$G$1:$G$1001,,0,1)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6">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ID]],customers!$A$1:$A$1001,customers!$I$1:$I$1001,"",0,1)</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IF(_xlfn.XLOOKUP(C416,customers!$A$1:$A$1001,customers!$C$1:$C$1001,,0,1)=0,"",(_xlfn.XLOOKUP(C416,customers!$A$1:$A$1001,customers!$C$1:$C$1001,,0,1)))</f>
        <v/>
      </c>
      <c r="H416" s="2" t="str">
        <f>_xlfn.XLOOKUP(C416,customers!$A$1:$A$1001,customers!$G$1:$G$1001,,0,1)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6">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ID]],customers!$A$1:$A$1001,customers!$I$1:$I$1001,"",0,1)</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IF(_xlfn.XLOOKUP(C417,customers!$A$1:$A$1001,customers!$C$1:$C$1001,,0,1)=0,"",(_xlfn.XLOOKUP(C417,customers!$A$1:$A$1001,customers!$C$1:$C$1001,,0,1)))</f>
        <v>ghawkyensbj@census.gov</v>
      </c>
      <c r="H417" s="2" t="str">
        <f>_xlfn.XLOOKUP(C417,customers!$A$1:$A$1001,customers!$G$1:$G$1001,,0,1)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6">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ID]],customers!$A$1:$A$1001,customers!$I$1:$I$1001,"",0,1)</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IF(_xlfn.XLOOKUP(C418,customers!$A$1:$A$1001,customers!$C$1:$C$1001,,0,1)=0,"",(_xlfn.XLOOKUP(C418,customers!$A$1:$A$1001,customers!$C$1:$C$1001,,0,1)))</f>
        <v/>
      </c>
      <c r="H418" s="2" t="str">
        <f>_xlfn.XLOOKUP(C418,customers!$A$1:$A$1001,customers!$G$1:$G$1001,,0,1)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6">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ID]],customers!$A$1:$A$1001,customers!$I$1:$I$1001,"",0,1)</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IF(_xlfn.XLOOKUP(C419,customers!$A$1:$A$1001,customers!$C$1:$C$1001,,0,1)=0,"",(_xlfn.XLOOKUP(C419,customers!$A$1:$A$1001,customers!$C$1:$C$1001,,0,1)))</f>
        <v/>
      </c>
      <c r="H419" s="2" t="str">
        <f>_xlfn.XLOOKUP(C419,customers!$A$1:$A$1001,customers!$G$1:$G$1001,,0,1)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6">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ID]],customers!$A$1:$A$1001,customers!$I$1:$I$1001,"",0,1)</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IF(_xlfn.XLOOKUP(C420,customers!$A$1:$A$1001,customers!$C$1:$C$1001,,0,1)=0,"",(_xlfn.XLOOKUP(C420,customers!$A$1:$A$1001,customers!$C$1:$C$1001,,0,1)))</f>
        <v>bmcgilvrabm@so-net.ne.jp</v>
      </c>
      <c r="H420" s="2" t="str">
        <f>_xlfn.XLOOKUP(C420,customers!$A$1:$A$1001,customers!$G$1:$G$1001,,0,1)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6">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ID]],customers!$A$1:$A$1001,customers!$I$1:$I$1001,"",0,1)</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IF(_xlfn.XLOOKUP(C421,customers!$A$1:$A$1001,customers!$C$1:$C$1001,,0,1)=0,"",(_xlfn.XLOOKUP(C421,customers!$A$1:$A$1001,customers!$C$1:$C$1001,,0,1)))</f>
        <v>adanzeybn@github.com</v>
      </c>
      <c r="H421" s="2" t="str">
        <f>_xlfn.XLOOKUP(C421,customers!$A$1:$A$1001,customers!$G$1:$G$1001,,0,1)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6">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ID]],customers!$A$1:$A$1001,customers!$I$1:$I$1001,"",0,1)</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IF(_xlfn.XLOOKUP(C422,customers!$A$1:$A$1001,customers!$C$1:$C$1001,,0,1)=0,"",(_xlfn.XLOOKUP(C422,customers!$A$1:$A$1001,customers!$C$1:$C$1001,,0,1)))</f>
        <v>tfarraac@behance.net</v>
      </c>
      <c r="H422" s="2" t="str">
        <f>_xlfn.XLOOKUP(C422,customers!$A$1:$A$1001,customers!$G$1:$G$1001,,0,1)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6">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ID]],customers!$A$1:$A$1001,customers!$I$1:$I$1001,"",0,1)</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IF(_xlfn.XLOOKUP(C423,customers!$A$1:$A$1001,customers!$C$1:$C$1001,,0,1)=0,"",(_xlfn.XLOOKUP(C423,customers!$A$1:$A$1001,customers!$C$1:$C$1001,,0,1)))</f>
        <v>tfarraac@behance.net</v>
      </c>
      <c r="H423" s="2" t="str">
        <f>_xlfn.XLOOKUP(C423,customers!$A$1:$A$1001,customers!$G$1:$G$1001,,0,1)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6">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ID]],customers!$A$1:$A$1001,customers!$I$1:$I$1001,"",0,1)</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IF(_xlfn.XLOOKUP(C424,customers!$A$1:$A$1001,customers!$C$1:$C$1001,,0,1)=0,"",(_xlfn.XLOOKUP(C424,customers!$A$1:$A$1001,customers!$C$1:$C$1001,,0,1)))</f>
        <v/>
      </c>
      <c r="H424" s="2" t="str">
        <f>_xlfn.XLOOKUP(C424,customers!$A$1:$A$1001,customers!$G$1:$G$1001,,0,1)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6">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ID]],customers!$A$1:$A$1001,customers!$I$1:$I$1001,"",0,1)</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IF(_xlfn.XLOOKUP(C425,customers!$A$1:$A$1001,customers!$C$1:$C$1001,,0,1)=0,"",(_xlfn.XLOOKUP(C425,customers!$A$1:$A$1001,customers!$C$1:$C$1001,,0,1)))</f>
        <v/>
      </c>
      <c r="H425" s="2" t="str">
        <f>_xlfn.XLOOKUP(C425,customers!$A$1:$A$1001,customers!$G$1:$G$1001,,0,1)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6">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ID]],customers!$A$1:$A$1001,customers!$I$1:$I$1001,"",0,1)</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IF(_xlfn.XLOOKUP(C426,customers!$A$1:$A$1001,customers!$C$1:$C$1001,,0,1)=0,"",(_xlfn.XLOOKUP(C426,customers!$A$1:$A$1001,customers!$C$1:$C$1001,,0,1)))</f>
        <v>ydombrellbs@dedecms.com</v>
      </c>
      <c r="H426" s="2" t="str">
        <f>_xlfn.XLOOKUP(C426,customers!$A$1:$A$1001,customers!$G$1:$G$1001,,0,1)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6">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ID]],customers!$A$1:$A$1001,customers!$I$1:$I$1001,"",0,1)</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IF(_xlfn.XLOOKUP(C427,customers!$A$1:$A$1001,customers!$C$1:$C$1001,,0,1)=0,"",(_xlfn.XLOOKUP(C427,customers!$A$1:$A$1001,customers!$C$1:$C$1001,,0,1)))</f>
        <v>adarthbt@t.co</v>
      </c>
      <c r="H427" s="2" t="str">
        <f>_xlfn.XLOOKUP(C427,customers!$A$1:$A$1001,customers!$G$1:$G$1001,,0,1)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6">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ID]],customers!$A$1:$A$1001,customers!$I$1:$I$1001,"",0,1)</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IF(_xlfn.XLOOKUP(C428,customers!$A$1:$A$1001,customers!$C$1:$C$1001,,0,1)=0,"",(_xlfn.XLOOKUP(C428,customers!$A$1:$A$1001,customers!$C$1:$C$1001,,0,1)))</f>
        <v>mdarrigoebu@hud.gov</v>
      </c>
      <c r="H428" s="2" t="str">
        <f>_xlfn.XLOOKUP(C428,customers!$A$1:$A$1001,customers!$G$1:$G$1001,,0,1)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6">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ID]],customers!$A$1:$A$1001,customers!$I$1:$I$1001,"",0,1)</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IF(_xlfn.XLOOKUP(C429,customers!$A$1:$A$1001,customers!$C$1:$C$1001,,0,1)=0,"",(_xlfn.XLOOKUP(C429,customers!$A$1:$A$1001,customers!$C$1:$C$1001,,0,1)))</f>
        <v/>
      </c>
      <c r="H429" s="2" t="str">
        <f>_xlfn.XLOOKUP(C429,customers!$A$1:$A$1001,customers!$G$1:$G$1001,,0,1)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6">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ID]],customers!$A$1:$A$1001,customers!$I$1:$I$1001,"",0,1)</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IF(_xlfn.XLOOKUP(C430,customers!$A$1:$A$1001,customers!$C$1:$C$1001,,0,1)=0,"",(_xlfn.XLOOKUP(C430,customers!$A$1:$A$1001,customers!$C$1:$C$1001,,0,1)))</f>
        <v>mackrillbw@bandcamp.com</v>
      </c>
      <c r="H430" s="2" t="str">
        <f>_xlfn.XLOOKUP(C430,customers!$A$1:$A$1001,customers!$G$1:$G$1001,,0,1)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6">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ID]],customers!$A$1:$A$1001,customers!$I$1:$I$1001,"",0,1)</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IF(_xlfn.XLOOKUP(C431,customers!$A$1:$A$1001,customers!$C$1:$C$1001,,0,1)=0,"",(_xlfn.XLOOKUP(C431,customers!$A$1:$A$1001,customers!$C$1:$C$1001,,0,1)))</f>
        <v>tfarraac@behance.net</v>
      </c>
      <c r="H431" s="2" t="str">
        <f>_xlfn.XLOOKUP(C431,customers!$A$1:$A$1001,customers!$G$1:$G$1001,,0,1)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6">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ID]],customers!$A$1:$A$1001,customers!$I$1:$I$1001,"",0,1)</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IF(_xlfn.XLOOKUP(C432,customers!$A$1:$A$1001,customers!$C$1:$C$1001,,0,1)=0,"",(_xlfn.XLOOKUP(C432,customers!$A$1:$A$1001,customers!$C$1:$C$1001,,0,1)))</f>
        <v>mkippenby@dion.ne.jp</v>
      </c>
      <c r="H432" s="2" t="str">
        <f>_xlfn.XLOOKUP(C432,customers!$A$1:$A$1001,customers!$G$1:$G$1001,,0,1)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6">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ID]],customers!$A$1:$A$1001,customers!$I$1:$I$1001,"",0,1)</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IF(_xlfn.XLOOKUP(C433,customers!$A$1:$A$1001,customers!$C$1:$C$1001,,0,1)=0,"",(_xlfn.XLOOKUP(C433,customers!$A$1:$A$1001,customers!$C$1:$C$1001,,0,1)))</f>
        <v>wransonbz@ted.com</v>
      </c>
      <c r="H433" s="2" t="str">
        <f>_xlfn.XLOOKUP(C433,customers!$A$1:$A$1001,customers!$G$1:$G$1001,,0,1)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6">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ID]],customers!$A$1:$A$1001,customers!$I$1:$I$1001,"",0,1)</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IF(_xlfn.XLOOKUP(C434,customers!$A$1:$A$1001,customers!$C$1:$C$1001,,0,1)=0,"",(_xlfn.XLOOKUP(C434,customers!$A$1:$A$1001,customers!$C$1:$C$1001,,0,1)))</f>
        <v/>
      </c>
      <c r="H434" s="2" t="str">
        <f>_xlfn.XLOOKUP(C434,customers!$A$1:$A$1001,customers!$G$1:$G$1001,,0,1)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6">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ID]],customers!$A$1:$A$1001,customers!$I$1:$I$1001,"",0,1)</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IF(_xlfn.XLOOKUP(C435,customers!$A$1:$A$1001,customers!$C$1:$C$1001,,0,1)=0,"",(_xlfn.XLOOKUP(C435,customers!$A$1:$A$1001,customers!$C$1:$C$1001,,0,1)))</f>
        <v>lrignoldc1@miibeian.gov.cn</v>
      </c>
      <c r="H435" s="2" t="str">
        <f>_xlfn.XLOOKUP(C435,customers!$A$1:$A$1001,customers!$G$1:$G$1001,,0,1)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6">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ID]],customers!$A$1:$A$1001,customers!$I$1:$I$1001,"",0,1)</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IF(_xlfn.XLOOKUP(C436,customers!$A$1:$A$1001,customers!$C$1:$C$1001,,0,1)=0,"",(_xlfn.XLOOKUP(C436,customers!$A$1:$A$1001,customers!$C$1:$C$1001,,0,1)))</f>
        <v/>
      </c>
      <c r="H436" s="2" t="str">
        <f>_xlfn.XLOOKUP(C436,customers!$A$1:$A$1001,customers!$G$1:$G$1001,,0,1)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6">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ID]],customers!$A$1:$A$1001,customers!$I$1:$I$1001,"",0,1)</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IF(_xlfn.XLOOKUP(C437,customers!$A$1:$A$1001,customers!$C$1:$C$1001,,0,1)=0,"",(_xlfn.XLOOKUP(C437,customers!$A$1:$A$1001,customers!$C$1:$C$1001,,0,1)))</f>
        <v>crowthornc3@msn.com</v>
      </c>
      <c r="H437" s="2" t="str">
        <f>_xlfn.XLOOKUP(C437,customers!$A$1:$A$1001,customers!$G$1:$G$1001,,0,1)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6">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ID]],customers!$A$1:$A$1001,customers!$I$1:$I$1001,"",0,1)</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IF(_xlfn.XLOOKUP(C438,customers!$A$1:$A$1001,customers!$C$1:$C$1001,,0,1)=0,"",(_xlfn.XLOOKUP(C438,customers!$A$1:$A$1001,customers!$C$1:$C$1001,,0,1)))</f>
        <v>orylandc4@deviantart.com</v>
      </c>
      <c r="H438" s="2" t="str">
        <f>_xlfn.XLOOKUP(C438,customers!$A$1:$A$1001,customers!$G$1:$G$1001,,0,1)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6">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ID]],customers!$A$1:$A$1001,customers!$I$1:$I$1001,"",0,1)</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IF(_xlfn.XLOOKUP(C439,customers!$A$1:$A$1001,customers!$C$1:$C$1001,,0,1)=0,"",(_xlfn.XLOOKUP(C439,customers!$A$1:$A$1001,customers!$C$1:$C$1001,,0,1)))</f>
        <v/>
      </c>
      <c r="H439" s="2" t="str">
        <f>_xlfn.XLOOKUP(C439,customers!$A$1:$A$1001,customers!$G$1:$G$1001,,0,1)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6">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ID]],customers!$A$1:$A$1001,customers!$I$1:$I$1001,"",0,1)</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IF(_xlfn.XLOOKUP(C440,customers!$A$1:$A$1001,customers!$C$1:$C$1001,,0,1)=0,"",(_xlfn.XLOOKUP(C440,customers!$A$1:$A$1001,customers!$C$1:$C$1001,,0,1)))</f>
        <v>msesonck@census.gov</v>
      </c>
      <c r="H440" s="2" t="str">
        <f>_xlfn.XLOOKUP(C440,customers!$A$1:$A$1001,customers!$G$1:$G$1001,,0,1)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6">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ID]],customers!$A$1:$A$1001,customers!$I$1:$I$1001,"",0,1)</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IF(_xlfn.XLOOKUP(C441,customers!$A$1:$A$1001,customers!$C$1:$C$1001,,0,1)=0,"",(_xlfn.XLOOKUP(C441,customers!$A$1:$A$1001,customers!$C$1:$C$1001,,0,1)))</f>
        <v>craglessc7@webmd.com</v>
      </c>
      <c r="H441" s="2" t="str">
        <f>_xlfn.XLOOKUP(C441,customers!$A$1:$A$1001,customers!$G$1:$G$1001,,0,1)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6">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ID]],customers!$A$1:$A$1001,customers!$I$1:$I$1001,"",0,1)</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IF(_xlfn.XLOOKUP(C442,customers!$A$1:$A$1001,customers!$C$1:$C$1001,,0,1)=0,"",(_xlfn.XLOOKUP(C442,customers!$A$1:$A$1001,customers!$C$1:$C$1001,,0,1)))</f>
        <v>fhollowsc8@blogtalkradio.com</v>
      </c>
      <c r="H442" s="2" t="str">
        <f>_xlfn.XLOOKUP(C442,customers!$A$1:$A$1001,customers!$G$1:$G$1001,,0,1)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6">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ID]],customers!$A$1:$A$1001,customers!$I$1:$I$1001,"",0,1)</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IF(_xlfn.XLOOKUP(C443,customers!$A$1:$A$1001,customers!$C$1:$C$1001,,0,1)=0,"",(_xlfn.XLOOKUP(C443,customers!$A$1:$A$1001,customers!$C$1:$C$1001,,0,1)))</f>
        <v>llathleiffc9@nationalgeographic.com</v>
      </c>
      <c r="H443" s="2" t="str">
        <f>_xlfn.XLOOKUP(C443,customers!$A$1:$A$1001,customers!$G$1:$G$1001,,0,1)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6">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ID]],customers!$A$1:$A$1001,customers!$I$1:$I$1001,"",0,1)</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IF(_xlfn.XLOOKUP(C444,customers!$A$1:$A$1001,customers!$C$1:$C$1001,,0,1)=0,"",(_xlfn.XLOOKUP(C444,customers!$A$1:$A$1001,customers!$C$1:$C$1001,,0,1)))</f>
        <v>kheadsca@jalbum.net</v>
      </c>
      <c r="H444" s="2" t="str">
        <f>_xlfn.XLOOKUP(C444,customers!$A$1:$A$1001,customers!$G$1:$G$1001,,0,1)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6">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ID]],customers!$A$1:$A$1001,customers!$I$1:$I$1001,"",0,1)</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IF(_xlfn.XLOOKUP(C445,customers!$A$1:$A$1001,customers!$C$1:$C$1001,,0,1)=0,"",(_xlfn.XLOOKUP(C445,customers!$A$1:$A$1001,customers!$C$1:$C$1001,,0,1)))</f>
        <v>tbownecb@unicef.org</v>
      </c>
      <c r="H445" s="2" t="str">
        <f>_xlfn.XLOOKUP(C445,customers!$A$1:$A$1001,customers!$G$1:$G$1001,,0,1)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6">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ID]],customers!$A$1:$A$1001,customers!$I$1:$I$1001,"",0,1)</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IF(_xlfn.XLOOKUP(C446,customers!$A$1:$A$1001,customers!$C$1:$C$1001,,0,1)=0,"",(_xlfn.XLOOKUP(C446,customers!$A$1:$A$1001,customers!$C$1:$C$1001,,0,1)))</f>
        <v>rjacquemardcc@acquirethisname.com</v>
      </c>
      <c r="H446" s="2" t="str">
        <f>_xlfn.XLOOKUP(C446,customers!$A$1:$A$1001,customers!$G$1:$G$1001,,0,1)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6">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ID]],customers!$A$1:$A$1001,customers!$I$1:$I$1001,"",0,1)</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IF(_xlfn.XLOOKUP(C447,customers!$A$1:$A$1001,customers!$C$1:$C$1001,,0,1)=0,"",(_xlfn.XLOOKUP(C447,customers!$A$1:$A$1001,customers!$C$1:$C$1001,,0,1)))</f>
        <v>kwarmancd@printfriendly.com</v>
      </c>
      <c r="H447" s="2" t="str">
        <f>_xlfn.XLOOKUP(C447,customers!$A$1:$A$1001,customers!$G$1:$G$1001,,0,1)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6">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ID]],customers!$A$1:$A$1001,customers!$I$1:$I$1001,"",0,1)</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IF(_xlfn.XLOOKUP(C448,customers!$A$1:$A$1001,customers!$C$1:$C$1001,,0,1)=0,"",(_xlfn.XLOOKUP(C448,customers!$A$1:$A$1001,customers!$C$1:$C$1001,,0,1)))</f>
        <v>wcholomince@about.com</v>
      </c>
      <c r="H448" s="2" t="str">
        <f>_xlfn.XLOOKUP(C448,customers!$A$1:$A$1001,customers!$G$1:$G$1001,,0,1)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6">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ID]],customers!$A$1:$A$1001,customers!$I$1:$I$1001,"",0,1)</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IF(_xlfn.XLOOKUP(C449,customers!$A$1:$A$1001,customers!$C$1:$C$1001,,0,1)=0,"",(_xlfn.XLOOKUP(C449,customers!$A$1:$A$1001,customers!$C$1:$C$1001,,0,1)))</f>
        <v>abraidmancf@census.gov</v>
      </c>
      <c r="H449" s="2" t="str">
        <f>_xlfn.XLOOKUP(C449,customers!$A$1:$A$1001,customers!$G$1:$G$1001,,0,1)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6">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ID]],customers!$A$1:$A$1001,customers!$I$1:$I$1001,"",0,1)</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IF(_xlfn.XLOOKUP(C450,customers!$A$1:$A$1001,customers!$C$1:$C$1001,,0,1)=0,"",(_xlfn.XLOOKUP(C450,customers!$A$1:$A$1001,customers!$C$1:$C$1001,,0,1)))</f>
        <v>pdurbancg@symantec.com</v>
      </c>
      <c r="H450" s="2" t="str">
        <f>_xlfn.XLOOKUP(C450,customers!$A$1:$A$1001,customers!$G$1:$G$1001,,0,1)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6">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ID]],customers!$A$1:$A$1001,customers!$I$1:$I$1001,"",0,1)</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IF(_xlfn.XLOOKUP(C451,customers!$A$1:$A$1001,customers!$C$1:$C$1001,,0,1)=0,"",(_xlfn.XLOOKUP(C451,customers!$A$1:$A$1001,customers!$C$1:$C$1001,,0,1)))</f>
        <v>aharroldch@miibeian.gov.cn</v>
      </c>
      <c r="H451" s="2" t="str">
        <f>_xlfn.XLOOKUP(C451,customers!$A$1:$A$1001,customers!$G$1:$G$1001,,0,1)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6">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ID]],customers!$A$1:$A$1001,customers!$I$1:$I$1001,"",0,1)</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IF(_xlfn.XLOOKUP(C452,customers!$A$1:$A$1001,customers!$C$1:$C$1001,,0,1)=0,"",(_xlfn.XLOOKUP(C452,customers!$A$1:$A$1001,customers!$C$1:$C$1001,,0,1)))</f>
        <v>spamphilonci@mlb.com</v>
      </c>
      <c r="H452" s="2" t="str">
        <f>_xlfn.XLOOKUP(C452,customers!$A$1:$A$1001,customers!$G$1:$G$1001,,0,1)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6">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ID]],customers!$A$1:$A$1001,customers!$I$1:$I$1001,"",0,1)</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IF(_xlfn.XLOOKUP(C453,customers!$A$1:$A$1001,customers!$C$1:$C$1001,,0,1)=0,"",(_xlfn.XLOOKUP(C453,customers!$A$1:$A$1001,customers!$C$1:$C$1001,,0,1)))</f>
        <v>mspurdencj@exblog.jp</v>
      </c>
      <c r="H453" s="2" t="str">
        <f>_xlfn.XLOOKUP(C453,customers!$A$1:$A$1001,customers!$G$1:$G$1001,,0,1)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6">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ID]],customers!$A$1:$A$1001,customers!$I$1:$I$1001,"",0,1)</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IF(_xlfn.XLOOKUP(C454,customers!$A$1:$A$1001,customers!$C$1:$C$1001,,0,1)=0,"",(_xlfn.XLOOKUP(C454,customers!$A$1:$A$1001,customers!$C$1:$C$1001,,0,1)))</f>
        <v>msesonck@census.gov</v>
      </c>
      <c r="H454" s="2" t="str">
        <f>_xlfn.XLOOKUP(C454,customers!$A$1:$A$1001,customers!$G$1:$G$1001,,0,1)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6">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ID]],customers!$A$1:$A$1001,customers!$I$1:$I$1001,"",0,1)</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IF(_xlfn.XLOOKUP(C455,customers!$A$1:$A$1001,customers!$C$1:$C$1001,,0,1)=0,"",(_xlfn.XLOOKUP(C455,customers!$A$1:$A$1001,customers!$C$1:$C$1001,,0,1)))</f>
        <v>npirronecl@weibo.com</v>
      </c>
      <c r="H455" s="2" t="str">
        <f>_xlfn.XLOOKUP(C455,customers!$A$1:$A$1001,customers!$G$1:$G$1001,,0,1)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6">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ID]],customers!$A$1:$A$1001,customers!$I$1:$I$1001,"",0,1)</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IF(_xlfn.XLOOKUP(C456,customers!$A$1:$A$1001,customers!$C$1:$C$1001,,0,1)=0,"",(_xlfn.XLOOKUP(C456,customers!$A$1:$A$1001,customers!$C$1:$C$1001,,0,1)))</f>
        <v>rcawleycm@yellowbook.com</v>
      </c>
      <c r="H456" s="2" t="str">
        <f>_xlfn.XLOOKUP(C456,customers!$A$1:$A$1001,customers!$G$1:$G$1001,,0,1)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6">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ID]],customers!$A$1:$A$1001,customers!$I$1:$I$1001,"",0,1)</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IF(_xlfn.XLOOKUP(C457,customers!$A$1:$A$1001,customers!$C$1:$C$1001,,0,1)=0,"",(_xlfn.XLOOKUP(C457,customers!$A$1:$A$1001,customers!$C$1:$C$1001,,0,1)))</f>
        <v>sbarribalcn@microsoft.com</v>
      </c>
      <c r="H457" s="2" t="str">
        <f>_xlfn.XLOOKUP(C457,customers!$A$1:$A$1001,customers!$G$1:$G$1001,,0,1)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6">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ID]],customers!$A$1:$A$1001,customers!$I$1:$I$1001,"",0,1)</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IF(_xlfn.XLOOKUP(C458,customers!$A$1:$A$1001,customers!$C$1:$C$1001,,0,1)=0,"",(_xlfn.XLOOKUP(C458,customers!$A$1:$A$1001,customers!$C$1:$C$1001,,0,1)))</f>
        <v>aadamidesco@bizjournals.com</v>
      </c>
      <c r="H458" s="2" t="str">
        <f>_xlfn.XLOOKUP(C458,customers!$A$1:$A$1001,customers!$G$1:$G$1001,,0,1)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6">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ID]],customers!$A$1:$A$1001,customers!$I$1:$I$1001,"",0,1)</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IF(_xlfn.XLOOKUP(C459,customers!$A$1:$A$1001,customers!$C$1:$C$1001,,0,1)=0,"",(_xlfn.XLOOKUP(C459,customers!$A$1:$A$1001,customers!$C$1:$C$1001,,0,1)))</f>
        <v>cthowescp@craigslist.org</v>
      </c>
      <c r="H459" s="2" t="str">
        <f>_xlfn.XLOOKUP(C459,customers!$A$1:$A$1001,customers!$G$1:$G$1001,,0,1)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6">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ID]],customers!$A$1:$A$1001,customers!$I$1:$I$1001,"",0,1)</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IF(_xlfn.XLOOKUP(C460,customers!$A$1:$A$1001,customers!$C$1:$C$1001,,0,1)=0,"",(_xlfn.XLOOKUP(C460,customers!$A$1:$A$1001,customers!$C$1:$C$1001,,0,1)))</f>
        <v>rwillowaycq@admin.ch</v>
      </c>
      <c r="H460" s="2" t="str">
        <f>_xlfn.XLOOKUP(C460,customers!$A$1:$A$1001,customers!$G$1:$G$1001,,0,1)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6">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ID]],customers!$A$1:$A$1001,customers!$I$1:$I$1001,"",0,1)</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IF(_xlfn.XLOOKUP(C461,customers!$A$1:$A$1001,customers!$C$1:$C$1001,,0,1)=0,"",(_xlfn.XLOOKUP(C461,customers!$A$1:$A$1001,customers!$C$1:$C$1001,,0,1)))</f>
        <v>aelwincr@privacy.gov.au</v>
      </c>
      <c r="H461" s="2" t="str">
        <f>_xlfn.XLOOKUP(C461,customers!$A$1:$A$1001,customers!$G$1:$G$1001,,0,1)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6">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ID]],customers!$A$1:$A$1001,customers!$I$1:$I$1001,"",0,1)</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IF(_xlfn.XLOOKUP(C462,customers!$A$1:$A$1001,customers!$C$1:$C$1001,,0,1)=0,"",(_xlfn.XLOOKUP(C462,customers!$A$1:$A$1001,customers!$C$1:$C$1001,,0,1)))</f>
        <v>abilbrookcs@booking.com</v>
      </c>
      <c r="H462" s="2" t="str">
        <f>_xlfn.XLOOKUP(C462,customers!$A$1:$A$1001,customers!$G$1:$G$1001,,0,1)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6">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ID]],customers!$A$1:$A$1001,customers!$I$1:$I$1001,"",0,1)</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IF(_xlfn.XLOOKUP(C463,customers!$A$1:$A$1001,customers!$C$1:$C$1001,,0,1)=0,"",(_xlfn.XLOOKUP(C463,customers!$A$1:$A$1001,customers!$C$1:$C$1001,,0,1)))</f>
        <v>rmckallct@sakura.ne.jp</v>
      </c>
      <c r="H463" s="2" t="str">
        <f>_xlfn.XLOOKUP(C463,customers!$A$1:$A$1001,customers!$G$1:$G$1001,,0,1)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6">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ID]],customers!$A$1:$A$1001,customers!$I$1:$I$1001,"",0,1)</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IF(_xlfn.XLOOKUP(C464,customers!$A$1:$A$1001,customers!$C$1:$C$1001,,0,1)=0,"",(_xlfn.XLOOKUP(C464,customers!$A$1:$A$1001,customers!$C$1:$C$1001,,0,1)))</f>
        <v>bdailecu@vistaprint.com</v>
      </c>
      <c r="H464" s="2" t="str">
        <f>_xlfn.XLOOKUP(C464,customers!$A$1:$A$1001,customers!$G$1:$G$1001,,0,1)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6">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ID]],customers!$A$1:$A$1001,customers!$I$1:$I$1001,"",0,1)</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IF(_xlfn.XLOOKUP(C465,customers!$A$1:$A$1001,customers!$C$1:$C$1001,,0,1)=0,"",(_xlfn.XLOOKUP(C465,customers!$A$1:$A$1001,customers!$C$1:$C$1001,,0,1)))</f>
        <v>atrehernecv@state.tx.us</v>
      </c>
      <c r="H465" s="2" t="str">
        <f>_xlfn.XLOOKUP(C465,customers!$A$1:$A$1001,customers!$G$1:$G$1001,,0,1)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6">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ID]],customers!$A$1:$A$1001,customers!$I$1:$I$1001,"",0,1)</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IF(_xlfn.XLOOKUP(C466,customers!$A$1:$A$1001,customers!$C$1:$C$1001,,0,1)=0,"",(_xlfn.XLOOKUP(C466,customers!$A$1:$A$1001,customers!$C$1:$C$1001,,0,1)))</f>
        <v>abrentnallcw@biglobe.ne.jp</v>
      </c>
      <c r="H466" s="2" t="str">
        <f>_xlfn.XLOOKUP(C466,customers!$A$1:$A$1001,customers!$G$1:$G$1001,,0,1)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6">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ID]],customers!$A$1:$A$1001,customers!$I$1:$I$1001,"",0,1)</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IF(_xlfn.XLOOKUP(C467,customers!$A$1:$A$1001,customers!$C$1:$C$1001,,0,1)=0,"",(_xlfn.XLOOKUP(C467,customers!$A$1:$A$1001,customers!$C$1:$C$1001,,0,1)))</f>
        <v>ddrinkallcx@psu.edu</v>
      </c>
      <c r="H467" s="2" t="str">
        <f>_xlfn.XLOOKUP(C467,customers!$A$1:$A$1001,customers!$G$1:$G$1001,,0,1)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6">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ID]],customers!$A$1:$A$1001,customers!$I$1:$I$1001,"",0,1)</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IF(_xlfn.XLOOKUP(C468,customers!$A$1:$A$1001,customers!$C$1:$C$1001,,0,1)=0,"",(_xlfn.XLOOKUP(C468,customers!$A$1:$A$1001,customers!$C$1:$C$1001,,0,1)))</f>
        <v>dkornelcy@cyberchimps.com</v>
      </c>
      <c r="H468" s="2" t="str">
        <f>_xlfn.XLOOKUP(C468,customers!$A$1:$A$1001,customers!$G$1:$G$1001,,0,1)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6">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ID]],customers!$A$1:$A$1001,customers!$I$1:$I$1001,"",0,1)</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IF(_xlfn.XLOOKUP(C469,customers!$A$1:$A$1001,customers!$C$1:$C$1001,,0,1)=0,"",(_xlfn.XLOOKUP(C469,customers!$A$1:$A$1001,customers!$C$1:$C$1001,,0,1)))</f>
        <v>rlequeuxcz@newyorker.com</v>
      </c>
      <c r="H469" s="2" t="str">
        <f>_xlfn.XLOOKUP(C469,customers!$A$1:$A$1001,customers!$G$1:$G$1001,,0,1)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6">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ID]],customers!$A$1:$A$1001,customers!$I$1:$I$1001,"",0,1)</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IF(_xlfn.XLOOKUP(C470,customers!$A$1:$A$1001,customers!$C$1:$C$1001,,0,1)=0,"",(_xlfn.XLOOKUP(C470,customers!$A$1:$A$1001,customers!$C$1:$C$1001,,0,1)))</f>
        <v>jmccaulld0@parallels.com</v>
      </c>
      <c r="H470" s="2" t="str">
        <f>_xlfn.XLOOKUP(C470,customers!$A$1:$A$1001,customers!$G$1:$G$1001,,0,1)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6">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ID]],customers!$A$1:$A$1001,customers!$I$1:$I$1001,"",0,1)</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IF(_xlfn.XLOOKUP(C471,customers!$A$1:$A$1001,customers!$C$1:$C$1001,,0,1)=0,"",(_xlfn.XLOOKUP(C471,customers!$A$1:$A$1001,customers!$C$1:$C$1001,,0,1)))</f>
        <v>abrashda@plala.or.jp</v>
      </c>
      <c r="H471" s="2" t="str">
        <f>_xlfn.XLOOKUP(C471,customers!$A$1:$A$1001,customers!$G$1:$G$1001,,0,1)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6">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ID]],customers!$A$1:$A$1001,customers!$I$1:$I$1001,"",0,1)</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IF(_xlfn.XLOOKUP(C472,customers!$A$1:$A$1001,customers!$C$1:$C$1001,,0,1)=0,"",(_xlfn.XLOOKUP(C472,customers!$A$1:$A$1001,customers!$C$1:$C$1001,,0,1)))</f>
        <v>ahutchinsond2@imgur.com</v>
      </c>
      <c r="H472" s="2" t="str">
        <f>_xlfn.XLOOKUP(C472,customers!$A$1:$A$1001,customers!$G$1:$G$1001,,0,1)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6">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ID]],customers!$A$1:$A$1001,customers!$I$1:$I$1001,"",0,1)</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IF(_xlfn.XLOOKUP(C473,customers!$A$1:$A$1001,customers!$C$1:$C$1001,,0,1)=0,"",(_xlfn.XLOOKUP(C473,customers!$A$1:$A$1001,customers!$C$1:$C$1001,,0,1)))</f>
        <v/>
      </c>
      <c r="H473" s="2" t="str">
        <f>_xlfn.XLOOKUP(C473,customers!$A$1:$A$1001,customers!$G$1:$G$1001,,0,1)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6">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ID]],customers!$A$1:$A$1001,customers!$I$1:$I$1001,"",0,1)</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IF(_xlfn.XLOOKUP(C474,customers!$A$1:$A$1001,customers!$C$1:$C$1001,,0,1)=0,"",(_xlfn.XLOOKUP(C474,customers!$A$1:$A$1001,customers!$C$1:$C$1001,,0,1)))</f>
        <v>rdriversd4@hexun.com</v>
      </c>
      <c r="H474" s="2" t="str">
        <f>_xlfn.XLOOKUP(C474,customers!$A$1:$A$1001,customers!$G$1:$G$1001,,0,1)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6">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ID]],customers!$A$1:$A$1001,customers!$I$1:$I$1001,"",0,1)</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IF(_xlfn.XLOOKUP(C475,customers!$A$1:$A$1001,customers!$C$1:$C$1001,,0,1)=0,"",(_xlfn.XLOOKUP(C475,customers!$A$1:$A$1001,customers!$C$1:$C$1001,,0,1)))</f>
        <v>hzeald5@google.de</v>
      </c>
      <c r="H475" s="2" t="str">
        <f>_xlfn.XLOOKUP(C475,customers!$A$1:$A$1001,customers!$G$1:$G$1001,,0,1)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6">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ID]],customers!$A$1:$A$1001,customers!$I$1:$I$1001,"",0,1)</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IF(_xlfn.XLOOKUP(C476,customers!$A$1:$A$1001,customers!$C$1:$C$1001,,0,1)=0,"",(_xlfn.XLOOKUP(C476,customers!$A$1:$A$1001,customers!$C$1:$C$1001,,0,1)))</f>
        <v>gsmallcombed6@ucla.edu</v>
      </c>
      <c r="H476" s="2" t="str">
        <f>_xlfn.XLOOKUP(C476,customers!$A$1:$A$1001,customers!$G$1:$G$1001,,0,1)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6">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ID]],customers!$A$1:$A$1001,customers!$I$1:$I$1001,"",0,1)</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IF(_xlfn.XLOOKUP(C477,customers!$A$1:$A$1001,customers!$C$1:$C$1001,,0,1)=0,"",(_xlfn.XLOOKUP(C477,customers!$A$1:$A$1001,customers!$C$1:$C$1001,,0,1)))</f>
        <v>ddibleyd7@feedburner.com</v>
      </c>
      <c r="H477" s="2" t="str">
        <f>_xlfn.XLOOKUP(C477,customers!$A$1:$A$1001,customers!$G$1:$G$1001,,0,1)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6">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ID]],customers!$A$1:$A$1001,customers!$I$1:$I$1001,"",0,1)</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IF(_xlfn.XLOOKUP(C478,customers!$A$1:$A$1001,customers!$C$1:$C$1001,,0,1)=0,"",(_xlfn.XLOOKUP(C478,customers!$A$1:$A$1001,customers!$C$1:$C$1001,,0,1)))</f>
        <v>gdimitrioud8@chronoengine.com</v>
      </c>
      <c r="H478" s="2" t="str">
        <f>_xlfn.XLOOKUP(C478,customers!$A$1:$A$1001,customers!$G$1:$G$1001,,0,1)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6">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ID]],customers!$A$1:$A$1001,customers!$I$1:$I$1001,"",0,1)</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IF(_xlfn.XLOOKUP(C479,customers!$A$1:$A$1001,customers!$C$1:$C$1001,,0,1)=0,"",(_xlfn.XLOOKUP(C479,customers!$A$1:$A$1001,customers!$C$1:$C$1001,,0,1)))</f>
        <v>fflanagand9@woothemes.com</v>
      </c>
      <c r="H479" s="2" t="str">
        <f>_xlfn.XLOOKUP(C479,customers!$A$1:$A$1001,customers!$G$1:$G$1001,,0,1)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6">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ID]],customers!$A$1:$A$1001,customers!$I$1:$I$1001,"",0,1)</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IF(_xlfn.XLOOKUP(C480,customers!$A$1:$A$1001,customers!$C$1:$C$1001,,0,1)=0,"",(_xlfn.XLOOKUP(C480,customers!$A$1:$A$1001,customers!$C$1:$C$1001,,0,1)))</f>
        <v>abrashda@plala.or.jp</v>
      </c>
      <c r="H480" s="2" t="str">
        <f>_xlfn.XLOOKUP(C480,customers!$A$1:$A$1001,customers!$G$1:$G$1001,,0,1)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6">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ID]],customers!$A$1:$A$1001,customers!$I$1:$I$1001,"",0,1)</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IF(_xlfn.XLOOKUP(C481,customers!$A$1:$A$1001,customers!$C$1:$C$1001,,0,1)=0,"",(_xlfn.XLOOKUP(C481,customers!$A$1:$A$1001,customers!$C$1:$C$1001,,0,1)))</f>
        <v>abrashda@plala.or.jp</v>
      </c>
      <c r="H481" s="2" t="str">
        <f>_xlfn.XLOOKUP(C481,customers!$A$1:$A$1001,customers!$G$1:$G$1001,,0,1)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6">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ID]],customers!$A$1:$A$1001,customers!$I$1:$I$1001,"",0,1)</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IF(_xlfn.XLOOKUP(C482,customers!$A$1:$A$1001,customers!$C$1:$C$1001,,0,1)=0,"",(_xlfn.XLOOKUP(C482,customers!$A$1:$A$1001,customers!$C$1:$C$1001,,0,1)))</f>
        <v>abrashda@plala.or.jp</v>
      </c>
      <c r="H482" s="2" t="str">
        <f>_xlfn.XLOOKUP(C482,customers!$A$1:$A$1001,customers!$G$1:$G$1001,,0,1)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6">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ID]],customers!$A$1:$A$1001,customers!$I$1:$I$1001,"",0,1)</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IF(_xlfn.XLOOKUP(C483,customers!$A$1:$A$1001,customers!$C$1:$C$1001,,0,1)=0,"",(_xlfn.XLOOKUP(C483,customers!$A$1:$A$1001,customers!$C$1:$C$1001,,0,1)))</f>
        <v>nizhakovdd@aol.com</v>
      </c>
      <c r="H483" s="2" t="str">
        <f>_xlfn.XLOOKUP(C483,customers!$A$1:$A$1001,customers!$G$1:$G$1001,,0,1)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6">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ID]],customers!$A$1:$A$1001,customers!$I$1:$I$1001,"",0,1)</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IF(_xlfn.XLOOKUP(C484,customers!$A$1:$A$1001,customers!$C$1:$C$1001,,0,1)=0,"",(_xlfn.XLOOKUP(C484,customers!$A$1:$A$1001,customers!$C$1:$C$1001,,0,1)))</f>
        <v>skeetsde@answers.com</v>
      </c>
      <c r="H484" s="2" t="str">
        <f>_xlfn.XLOOKUP(C484,customers!$A$1:$A$1001,customers!$G$1:$G$1001,,0,1)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6">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ID]],customers!$A$1:$A$1001,customers!$I$1:$I$1001,"",0,1)</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IF(_xlfn.XLOOKUP(C485,customers!$A$1:$A$1001,customers!$C$1:$C$1001,,0,1)=0,"",(_xlfn.XLOOKUP(C485,customers!$A$1:$A$1001,customers!$C$1:$C$1001,,0,1)))</f>
        <v/>
      </c>
      <c r="H485" s="2" t="str">
        <f>_xlfn.XLOOKUP(C485,customers!$A$1:$A$1001,customers!$G$1:$G$1001,,0,1)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6">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ID]],customers!$A$1:$A$1001,customers!$I$1:$I$1001,"",0,1)</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IF(_xlfn.XLOOKUP(C486,customers!$A$1:$A$1001,customers!$C$1:$C$1001,,0,1)=0,"",(_xlfn.XLOOKUP(C486,customers!$A$1:$A$1001,customers!$C$1:$C$1001,,0,1)))</f>
        <v>kcakedg@huffingtonpost.com</v>
      </c>
      <c r="H486" s="2" t="str">
        <f>_xlfn.XLOOKUP(C486,customers!$A$1:$A$1001,customers!$G$1:$G$1001,,0,1)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6">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ID]],customers!$A$1:$A$1001,customers!$I$1:$I$1001,"",0,1)</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IF(_xlfn.XLOOKUP(C487,customers!$A$1:$A$1001,customers!$C$1:$C$1001,,0,1)=0,"",(_xlfn.XLOOKUP(C487,customers!$A$1:$A$1001,customers!$C$1:$C$1001,,0,1)))</f>
        <v>mhanseddh@instagram.com</v>
      </c>
      <c r="H487" s="2" t="str">
        <f>_xlfn.XLOOKUP(C487,customers!$A$1:$A$1001,customers!$G$1:$G$1001,,0,1)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6">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ID]],customers!$A$1:$A$1001,customers!$I$1:$I$1001,"",0,1)</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IF(_xlfn.XLOOKUP(C488,customers!$A$1:$A$1001,customers!$C$1:$C$1001,,0,1)=0,"",(_xlfn.XLOOKUP(C488,customers!$A$1:$A$1001,customers!$C$1:$C$1001,,0,1)))</f>
        <v>fkienleindi@trellian.com</v>
      </c>
      <c r="H488" s="2" t="str">
        <f>_xlfn.XLOOKUP(C488,customers!$A$1:$A$1001,customers!$G$1:$G$1001,,0,1)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6">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ID]],customers!$A$1:$A$1001,customers!$I$1:$I$1001,"",0,1)</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IF(_xlfn.XLOOKUP(C489,customers!$A$1:$A$1001,customers!$C$1:$C$1001,,0,1)=0,"",(_xlfn.XLOOKUP(C489,customers!$A$1:$A$1001,customers!$C$1:$C$1001,,0,1)))</f>
        <v>kegglestonedj@sphinn.com</v>
      </c>
      <c r="H489" s="2" t="str">
        <f>_xlfn.XLOOKUP(C489,customers!$A$1:$A$1001,customers!$G$1:$G$1001,,0,1)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6">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ID]],customers!$A$1:$A$1001,customers!$I$1:$I$1001,"",0,1)</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IF(_xlfn.XLOOKUP(C490,customers!$A$1:$A$1001,customers!$C$1:$C$1001,,0,1)=0,"",(_xlfn.XLOOKUP(C490,customers!$A$1:$A$1001,customers!$C$1:$C$1001,,0,1)))</f>
        <v>bsemkinsdk@unc.edu</v>
      </c>
      <c r="H490" s="2" t="str">
        <f>_xlfn.XLOOKUP(C490,customers!$A$1:$A$1001,customers!$G$1:$G$1001,,0,1)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6">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ID]],customers!$A$1:$A$1001,customers!$I$1:$I$1001,"",0,1)</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IF(_xlfn.XLOOKUP(C491,customers!$A$1:$A$1001,customers!$C$1:$C$1001,,0,1)=0,"",(_xlfn.XLOOKUP(C491,customers!$A$1:$A$1001,customers!$C$1:$C$1001,,0,1)))</f>
        <v>slorenzettidl@is.gd</v>
      </c>
      <c r="H491" s="2" t="str">
        <f>_xlfn.XLOOKUP(C491,customers!$A$1:$A$1001,customers!$G$1:$G$1001,,0,1)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6">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ID]],customers!$A$1:$A$1001,customers!$I$1:$I$1001,"",0,1)</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IF(_xlfn.XLOOKUP(C492,customers!$A$1:$A$1001,customers!$C$1:$C$1001,,0,1)=0,"",(_xlfn.XLOOKUP(C492,customers!$A$1:$A$1001,customers!$C$1:$C$1001,,0,1)))</f>
        <v>bgiannazzidm@apple.com</v>
      </c>
      <c r="H492" s="2" t="str">
        <f>_xlfn.XLOOKUP(C492,customers!$A$1:$A$1001,customers!$G$1:$G$1001,,0,1)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6">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ID]],customers!$A$1:$A$1001,customers!$I$1:$I$1001,"",0,1)</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IF(_xlfn.XLOOKUP(C493,customers!$A$1:$A$1001,customers!$C$1:$C$1001,,0,1)=0,"",(_xlfn.XLOOKUP(C493,customers!$A$1:$A$1001,customers!$C$1:$C$1001,,0,1)))</f>
        <v/>
      </c>
      <c r="H493" s="2" t="str">
        <f>_xlfn.XLOOKUP(C493,customers!$A$1:$A$1001,customers!$G$1:$G$1001,,0,1)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6">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ID]],customers!$A$1:$A$1001,customers!$I$1:$I$1001,"",0,1)</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IF(_xlfn.XLOOKUP(C494,customers!$A$1:$A$1001,customers!$C$1:$C$1001,,0,1)=0,"",(_xlfn.XLOOKUP(C494,customers!$A$1:$A$1001,customers!$C$1:$C$1001,,0,1)))</f>
        <v>ulethbrigdo@hc360.com</v>
      </c>
      <c r="H494" s="2" t="str">
        <f>_xlfn.XLOOKUP(C494,customers!$A$1:$A$1001,customers!$G$1:$G$1001,,0,1)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6">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ID]],customers!$A$1:$A$1001,customers!$I$1:$I$1001,"",0,1)</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IF(_xlfn.XLOOKUP(C495,customers!$A$1:$A$1001,customers!$C$1:$C$1001,,0,1)=0,"",(_xlfn.XLOOKUP(C495,customers!$A$1:$A$1001,customers!$C$1:$C$1001,,0,1)))</f>
        <v>sfarnishdp@dmoz.org</v>
      </c>
      <c r="H495" s="2" t="str">
        <f>_xlfn.XLOOKUP(C495,customers!$A$1:$A$1001,customers!$G$1:$G$1001,,0,1)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6">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ID]],customers!$A$1:$A$1001,customers!$I$1:$I$1001,"",0,1)</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IF(_xlfn.XLOOKUP(C496,customers!$A$1:$A$1001,customers!$C$1:$C$1001,,0,1)=0,"",(_xlfn.XLOOKUP(C496,customers!$A$1:$A$1001,customers!$C$1:$C$1001,,0,1)))</f>
        <v>fjecockdq@unicef.org</v>
      </c>
      <c r="H496" s="2" t="str">
        <f>_xlfn.XLOOKUP(C496,customers!$A$1:$A$1001,customers!$G$1:$G$1001,,0,1)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6">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ID]],customers!$A$1:$A$1001,customers!$I$1:$I$1001,"",0,1)</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IF(_xlfn.XLOOKUP(C497,customers!$A$1:$A$1001,customers!$C$1:$C$1001,,0,1)=0,"",(_xlfn.XLOOKUP(C497,customers!$A$1:$A$1001,customers!$C$1:$C$1001,,0,1)))</f>
        <v/>
      </c>
      <c r="H497" s="2" t="str">
        <f>_xlfn.XLOOKUP(C497,customers!$A$1:$A$1001,customers!$G$1:$G$1001,,0,1)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6">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ID]],customers!$A$1:$A$1001,customers!$I$1:$I$1001,"",0,1)</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IF(_xlfn.XLOOKUP(C498,customers!$A$1:$A$1001,customers!$C$1:$C$1001,,0,1)=0,"",(_xlfn.XLOOKUP(C498,customers!$A$1:$A$1001,customers!$C$1:$C$1001,,0,1)))</f>
        <v>hpallisterds@ning.com</v>
      </c>
      <c r="H498" s="2" t="str">
        <f>_xlfn.XLOOKUP(C498,customers!$A$1:$A$1001,customers!$G$1:$G$1001,,0,1)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6">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ID]],customers!$A$1:$A$1001,customers!$I$1:$I$1001,"",0,1)</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IF(_xlfn.XLOOKUP(C499,customers!$A$1:$A$1001,customers!$C$1:$C$1001,,0,1)=0,"",(_xlfn.XLOOKUP(C499,customers!$A$1:$A$1001,customers!$C$1:$C$1001,,0,1)))</f>
        <v>cmershdt@drupal.org</v>
      </c>
      <c r="H499" s="2" t="str">
        <f>_xlfn.XLOOKUP(C499,customers!$A$1:$A$1001,customers!$G$1:$G$1001,,0,1)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6">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ID]],customers!$A$1:$A$1001,customers!$I$1:$I$1001,"",0,1)</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IF(_xlfn.XLOOKUP(C500,customers!$A$1:$A$1001,customers!$C$1:$C$1001,,0,1)=0,"",(_xlfn.XLOOKUP(C500,customers!$A$1:$A$1001,customers!$C$1:$C$1001,,0,1)))</f>
        <v>murione5@alexa.com</v>
      </c>
      <c r="H500" s="2" t="str">
        <f>_xlfn.XLOOKUP(C500,customers!$A$1:$A$1001,customers!$G$1:$G$1001,,0,1)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6">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ID]],customers!$A$1:$A$1001,customers!$I$1:$I$1001,"",0,1)</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IF(_xlfn.XLOOKUP(C501,customers!$A$1:$A$1001,customers!$C$1:$C$1001,,0,1)=0,"",(_xlfn.XLOOKUP(C501,customers!$A$1:$A$1001,customers!$C$1:$C$1001,,0,1)))</f>
        <v/>
      </c>
      <c r="H501" s="2" t="str">
        <f>_xlfn.XLOOKUP(C501,customers!$A$1:$A$1001,customers!$G$1:$G$1001,,0,1)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6">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ID]],customers!$A$1:$A$1001,customers!$I$1:$I$1001,"",0,1)</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IF(_xlfn.XLOOKUP(C502,customers!$A$1:$A$1001,customers!$C$1:$C$1001,,0,1)=0,"",(_xlfn.XLOOKUP(C502,customers!$A$1:$A$1001,customers!$C$1:$C$1001,,0,1)))</f>
        <v/>
      </c>
      <c r="H502" s="2" t="str">
        <f>_xlfn.XLOOKUP(C502,customers!$A$1:$A$1001,customers!$G$1:$G$1001,,0,1)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6">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ID]],customers!$A$1:$A$1001,customers!$I$1:$I$1001,"",0,1)</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IF(_xlfn.XLOOKUP(C503,customers!$A$1:$A$1001,customers!$C$1:$C$1001,,0,1)=0,"",(_xlfn.XLOOKUP(C503,customers!$A$1:$A$1001,customers!$C$1:$C$1001,,0,1)))</f>
        <v>gduckerdx@patch.com</v>
      </c>
      <c r="H503" s="2" t="str">
        <f>_xlfn.XLOOKUP(C503,customers!$A$1:$A$1001,customers!$G$1:$G$1001,,0,1)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6">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ID]],customers!$A$1:$A$1001,customers!$I$1:$I$1001,"",0,1)</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IF(_xlfn.XLOOKUP(C504,customers!$A$1:$A$1001,customers!$C$1:$C$1001,,0,1)=0,"",(_xlfn.XLOOKUP(C504,customers!$A$1:$A$1001,customers!$C$1:$C$1001,,0,1)))</f>
        <v>gduckerdx@patch.com</v>
      </c>
      <c r="H504" s="2" t="str">
        <f>_xlfn.XLOOKUP(C504,customers!$A$1:$A$1001,customers!$G$1:$G$1001,,0,1)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6">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ID]],customers!$A$1:$A$1001,customers!$I$1:$I$1001,"",0,1)</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IF(_xlfn.XLOOKUP(C505,customers!$A$1:$A$1001,customers!$C$1:$C$1001,,0,1)=0,"",(_xlfn.XLOOKUP(C505,customers!$A$1:$A$1001,customers!$C$1:$C$1001,,0,1)))</f>
        <v>gduckerdx@patch.com</v>
      </c>
      <c r="H505" s="2" t="str">
        <f>_xlfn.XLOOKUP(C505,customers!$A$1:$A$1001,customers!$G$1:$G$1001,,0,1)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6">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ID]],customers!$A$1:$A$1001,customers!$I$1:$I$1001,"",0,1)</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IF(_xlfn.XLOOKUP(C506,customers!$A$1:$A$1001,customers!$C$1:$C$1001,,0,1)=0,"",(_xlfn.XLOOKUP(C506,customers!$A$1:$A$1001,customers!$C$1:$C$1001,,0,1)))</f>
        <v>gduckerdx@patch.com</v>
      </c>
      <c r="H506" s="2" t="str">
        <f>_xlfn.XLOOKUP(C506,customers!$A$1:$A$1001,customers!$G$1:$G$1001,,0,1)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6">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ID]],customers!$A$1:$A$1001,customers!$I$1:$I$1001,"",0,1)</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IF(_xlfn.XLOOKUP(C507,customers!$A$1:$A$1001,customers!$C$1:$C$1001,,0,1)=0,"",(_xlfn.XLOOKUP(C507,customers!$A$1:$A$1001,customers!$C$1:$C$1001,,0,1)))</f>
        <v>wstearleye1@census.gov</v>
      </c>
      <c r="H507" s="2" t="str">
        <f>_xlfn.XLOOKUP(C507,customers!$A$1:$A$1001,customers!$G$1:$G$1001,,0,1)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6">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ID]],customers!$A$1:$A$1001,customers!$I$1:$I$1001,"",0,1)</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IF(_xlfn.XLOOKUP(C508,customers!$A$1:$A$1001,customers!$C$1:$C$1001,,0,1)=0,"",(_xlfn.XLOOKUP(C508,customers!$A$1:$A$1001,customers!$C$1:$C$1001,,0,1)))</f>
        <v>dwincere2@marriott.com</v>
      </c>
      <c r="H508" s="2" t="str">
        <f>_xlfn.XLOOKUP(C508,customers!$A$1:$A$1001,customers!$G$1:$G$1001,,0,1)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6">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ID]],customers!$A$1:$A$1001,customers!$I$1:$I$1001,"",0,1)</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IF(_xlfn.XLOOKUP(C509,customers!$A$1:$A$1001,customers!$C$1:$C$1001,,0,1)=0,"",(_xlfn.XLOOKUP(C509,customers!$A$1:$A$1001,customers!$C$1:$C$1001,,0,1)))</f>
        <v>plyfielde3@baidu.com</v>
      </c>
      <c r="H509" s="2" t="str">
        <f>_xlfn.XLOOKUP(C509,customers!$A$1:$A$1001,customers!$G$1:$G$1001,,0,1)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6">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ID]],customers!$A$1:$A$1001,customers!$I$1:$I$1001,"",0,1)</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IF(_xlfn.XLOOKUP(C510,customers!$A$1:$A$1001,customers!$C$1:$C$1001,,0,1)=0,"",(_xlfn.XLOOKUP(C510,customers!$A$1:$A$1001,customers!$C$1:$C$1001,,0,1)))</f>
        <v>hperrise4@studiopress.com</v>
      </c>
      <c r="H510" s="2" t="str">
        <f>_xlfn.XLOOKUP(C510,customers!$A$1:$A$1001,customers!$G$1:$G$1001,,0,1)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6">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ID]],customers!$A$1:$A$1001,customers!$I$1:$I$1001,"",0,1)</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IF(_xlfn.XLOOKUP(C511,customers!$A$1:$A$1001,customers!$C$1:$C$1001,,0,1)=0,"",(_xlfn.XLOOKUP(C511,customers!$A$1:$A$1001,customers!$C$1:$C$1001,,0,1)))</f>
        <v>murione5@alexa.com</v>
      </c>
      <c r="H511" s="2" t="str">
        <f>_xlfn.XLOOKUP(C511,customers!$A$1:$A$1001,customers!$G$1:$G$1001,,0,1)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6">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ID]],customers!$A$1:$A$1001,customers!$I$1:$I$1001,"",0,1)</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IF(_xlfn.XLOOKUP(C512,customers!$A$1:$A$1001,customers!$C$1:$C$1001,,0,1)=0,"",(_xlfn.XLOOKUP(C512,customers!$A$1:$A$1001,customers!$C$1:$C$1001,,0,1)))</f>
        <v>ckide6@narod.ru</v>
      </c>
      <c r="H512" s="2" t="str">
        <f>_xlfn.XLOOKUP(C512,customers!$A$1:$A$1001,customers!$G$1:$G$1001,,0,1)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6">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ID]],customers!$A$1:$A$1001,customers!$I$1:$I$1001,"",0,1)</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IF(_xlfn.XLOOKUP(C513,customers!$A$1:$A$1001,customers!$C$1:$C$1001,,0,1)=0,"",(_xlfn.XLOOKUP(C513,customers!$A$1:$A$1001,customers!$C$1:$C$1001,,0,1)))</f>
        <v>cbeinee7@xinhuanet.com</v>
      </c>
      <c r="H513" s="2" t="str">
        <f>_xlfn.XLOOKUP(C513,customers!$A$1:$A$1001,customers!$G$1:$G$1001,,0,1)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6">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ID]],customers!$A$1:$A$1001,customers!$I$1:$I$1001,"",0,1)</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IF(_xlfn.XLOOKUP(C514,customers!$A$1:$A$1001,customers!$C$1:$C$1001,,0,1)=0,"",(_xlfn.XLOOKUP(C514,customers!$A$1:$A$1001,customers!$C$1:$C$1001,,0,1)))</f>
        <v>cbakeupe8@globo.com</v>
      </c>
      <c r="H514" s="2" t="str">
        <f>_xlfn.XLOOKUP(C514,customers!$A$1:$A$1001,customers!$G$1:$G$1001,,0,1)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6">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ID]],customers!$A$1:$A$1001,customers!$I$1:$I$1001,"",0,1)</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IF(_xlfn.XLOOKUP(C515,customers!$A$1:$A$1001,customers!$C$1:$C$1001,,0,1)=0,"",(_xlfn.XLOOKUP(C515,customers!$A$1:$A$1001,customers!$C$1:$C$1001,,0,1)))</f>
        <v>nhelkine9@example.com</v>
      </c>
      <c r="H515" s="2" t="str">
        <f>_xlfn.XLOOKUP(C515,customers!$A$1:$A$1001,customers!$G$1:$G$1001,,0,1)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6">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ID]],customers!$A$1:$A$1001,customers!$I$1:$I$1001,"",0,1)</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IF(_xlfn.XLOOKUP(C516,customers!$A$1:$A$1001,customers!$C$1:$C$1001,,0,1)=0,"",(_xlfn.XLOOKUP(C516,customers!$A$1:$A$1001,customers!$C$1:$C$1001,,0,1)))</f>
        <v>pwitheringtonea@networkadvertising.org</v>
      </c>
      <c r="H516" s="2" t="str">
        <f>_xlfn.XLOOKUP(C516,customers!$A$1:$A$1001,customers!$G$1:$G$1001,,0,1)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6">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ID]],customers!$A$1:$A$1001,customers!$I$1:$I$1001,"",0,1)</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IF(_xlfn.XLOOKUP(C517,customers!$A$1:$A$1001,customers!$C$1:$C$1001,,0,1)=0,"",(_xlfn.XLOOKUP(C517,customers!$A$1:$A$1001,customers!$C$1:$C$1001,,0,1)))</f>
        <v>ttilzeyeb@hostgator.com</v>
      </c>
      <c r="H517" s="2" t="str">
        <f>_xlfn.XLOOKUP(C517,customers!$A$1:$A$1001,customers!$G$1:$G$1001,,0,1)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6">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ID]],customers!$A$1:$A$1001,customers!$I$1:$I$1001,"",0,1)</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IF(_xlfn.XLOOKUP(C518,customers!$A$1:$A$1001,customers!$C$1:$C$1001,,0,1)=0,"",(_xlfn.XLOOKUP(C518,customers!$A$1:$A$1001,customers!$C$1:$C$1001,,0,1)))</f>
        <v/>
      </c>
      <c r="H518" s="2" t="str">
        <f>_xlfn.XLOOKUP(C518,customers!$A$1:$A$1001,customers!$G$1:$G$1001,,0,1)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6">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ID]],customers!$A$1:$A$1001,customers!$I$1:$I$1001,"",0,1)</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IF(_xlfn.XLOOKUP(C519,customers!$A$1:$A$1001,customers!$C$1:$C$1001,,0,1)=0,"",(_xlfn.XLOOKUP(C519,customers!$A$1:$A$1001,customers!$C$1:$C$1001,,0,1)))</f>
        <v/>
      </c>
      <c r="H519" s="2" t="str">
        <f>_xlfn.XLOOKUP(C519,customers!$A$1:$A$1001,customers!$G$1:$G$1001,,0,1)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6">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ID]],customers!$A$1:$A$1001,customers!$I$1:$I$1001,"",0,1)</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IF(_xlfn.XLOOKUP(C520,customers!$A$1:$A$1001,customers!$C$1:$C$1001,,0,1)=0,"",(_xlfn.XLOOKUP(C520,customers!$A$1:$A$1001,customers!$C$1:$C$1001,,0,1)))</f>
        <v>kimortsee@alexa.com</v>
      </c>
      <c r="H520" s="2" t="str">
        <f>_xlfn.XLOOKUP(C520,customers!$A$1:$A$1001,customers!$G$1:$G$1001,,0,1)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6">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ID]],customers!$A$1:$A$1001,customers!$I$1:$I$1001,"",0,1)</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IF(_xlfn.XLOOKUP(C521,customers!$A$1:$A$1001,customers!$C$1:$C$1001,,0,1)=0,"",(_xlfn.XLOOKUP(C521,customers!$A$1:$A$1001,customers!$C$1:$C$1001,,0,1)))</f>
        <v>murione5@alexa.com</v>
      </c>
      <c r="H521" s="2" t="str">
        <f>_xlfn.XLOOKUP(C521,customers!$A$1:$A$1001,customers!$G$1:$G$1001,,0,1)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6">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ID]],customers!$A$1:$A$1001,customers!$I$1:$I$1001,"",0,1)</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IF(_xlfn.XLOOKUP(C522,customers!$A$1:$A$1001,customers!$C$1:$C$1001,,0,1)=0,"",(_xlfn.XLOOKUP(C522,customers!$A$1:$A$1001,customers!$C$1:$C$1001,,0,1)))</f>
        <v>marmisteadeg@blogtalkradio.com</v>
      </c>
      <c r="H522" s="2" t="str">
        <f>_xlfn.XLOOKUP(C522,customers!$A$1:$A$1001,customers!$G$1:$G$1001,,0,1)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6">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ID]],customers!$A$1:$A$1001,customers!$I$1:$I$1001,"",0,1)</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IF(_xlfn.XLOOKUP(C523,customers!$A$1:$A$1001,customers!$C$1:$C$1001,,0,1)=0,"",(_xlfn.XLOOKUP(C523,customers!$A$1:$A$1001,customers!$C$1:$C$1001,,0,1)))</f>
        <v>marmisteadeg@blogtalkradio.com</v>
      </c>
      <c r="H523" s="2" t="str">
        <f>_xlfn.XLOOKUP(C523,customers!$A$1:$A$1001,customers!$G$1:$G$1001,,0,1)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6">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ID]],customers!$A$1:$A$1001,customers!$I$1:$I$1001,"",0,1)</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IF(_xlfn.XLOOKUP(C524,customers!$A$1:$A$1001,customers!$C$1:$C$1001,,0,1)=0,"",(_xlfn.XLOOKUP(C524,customers!$A$1:$A$1001,customers!$C$1:$C$1001,,0,1)))</f>
        <v>vupstoneei@google.pl</v>
      </c>
      <c r="H524" s="2" t="str">
        <f>_xlfn.XLOOKUP(C524,customers!$A$1:$A$1001,customers!$G$1:$G$1001,,0,1)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6">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ID]],customers!$A$1:$A$1001,customers!$I$1:$I$1001,"",0,1)</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IF(_xlfn.XLOOKUP(C525,customers!$A$1:$A$1001,customers!$C$1:$C$1001,,0,1)=0,"",(_xlfn.XLOOKUP(C525,customers!$A$1:$A$1001,customers!$C$1:$C$1001,,0,1)))</f>
        <v>bbeelbyej@rediff.com</v>
      </c>
      <c r="H525" s="2" t="str">
        <f>_xlfn.XLOOKUP(C525,customers!$A$1:$A$1001,customers!$G$1:$G$1001,,0,1)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6">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ID]],customers!$A$1:$A$1001,customers!$I$1:$I$1001,"",0,1)</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IF(_xlfn.XLOOKUP(C526,customers!$A$1:$A$1001,customers!$C$1:$C$1001,,0,1)=0,"",(_xlfn.XLOOKUP(C526,customers!$A$1:$A$1001,customers!$C$1:$C$1001,,0,1)))</f>
        <v/>
      </c>
      <c r="H526" s="2" t="str">
        <f>_xlfn.XLOOKUP(C526,customers!$A$1:$A$1001,customers!$G$1:$G$1001,,0,1)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6">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ID]],customers!$A$1:$A$1001,customers!$I$1:$I$1001,"",0,1)</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IF(_xlfn.XLOOKUP(C527,customers!$A$1:$A$1001,customers!$C$1:$C$1001,,0,1)=0,"",(_xlfn.XLOOKUP(C527,customers!$A$1:$A$1001,customers!$C$1:$C$1001,,0,1)))</f>
        <v/>
      </c>
      <c r="H527" s="2" t="str">
        <f>_xlfn.XLOOKUP(C527,customers!$A$1:$A$1001,customers!$G$1:$G$1001,,0,1)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6">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ID]],customers!$A$1:$A$1001,customers!$I$1:$I$1001,"",0,1)</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IF(_xlfn.XLOOKUP(C528,customers!$A$1:$A$1001,customers!$C$1:$C$1001,,0,1)=0,"",(_xlfn.XLOOKUP(C528,customers!$A$1:$A$1001,customers!$C$1:$C$1001,,0,1)))</f>
        <v>wspeechlyem@amazon.com</v>
      </c>
      <c r="H528" s="2" t="str">
        <f>_xlfn.XLOOKUP(C528,customers!$A$1:$A$1001,customers!$G$1:$G$1001,,0,1)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6">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ID]],customers!$A$1:$A$1001,customers!$I$1:$I$1001,"",0,1)</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IF(_xlfn.XLOOKUP(C529,customers!$A$1:$A$1001,customers!$C$1:$C$1001,,0,1)=0,"",(_xlfn.XLOOKUP(C529,customers!$A$1:$A$1001,customers!$C$1:$C$1001,,0,1)))</f>
        <v>iphillpoten@buzzfeed.com</v>
      </c>
      <c r="H529" s="2" t="str">
        <f>_xlfn.XLOOKUP(C529,customers!$A$1:$A$1001,customers!$G$1:$G$1001,,0,1)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6">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ID]],customers!$A$1:$A$1001,customers!$I$1:$I$1001,"",0,1)</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IF(_xlfn.XLOOKUP(C530,customers!$A$1:$A$1001,customers!$C$1:$C$1001,,0,1)=0,"",(_xlfn.XLOOKUP(C530,customers!$A$1:$A$1001,customers!$C$1:$C$1001,,0,1)))</f>
        <v>lpennaccieo@statcounter.com</v>
      </c>
      <c r="H530" s="2" t="str">
        <f>_xlfn.XLOOKUP(C530,customers!$A$1:$A$1001,customers!$G$1:$G$1001,,0,1)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6">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ID]],customers!$A$1:$A$1001,customers!$I$1:$I$1001,"",0,1)</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IF(_xlfn.XLOOKUP(C531,customers!$A$1:$A$1001,customers!$C$1:$C$1001,,0,1)=0,"",(_xlfn.XLOOKUP(C531,customers!$A$1:$A$1001,customers!$C$1:$C$1001,,0,1)))</f>
        <v>sarpinep@moonfruit.com</v>
      </c>
      <c r="H531" s="2" t="str">
        <f>_xlfn.XLOOKUP(C531,customers!$A$1:$A$1001,customers!$G$1:$G$1001,,0,1)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6">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ID]],customers!$A$1:$A$1001,customers!$I$1:$I$1001,"",0,1)</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IF(_xlfn.XLOOKUP(C532,customers!$A$1:$A$1001,customers!$C$1:$C$1001,,0,1)=0,"",(_xlfn.XLOOKUP(C532,customers!$A$1:$A$1001,customers!$C$1:$C$1001,,0,1)))</f>
        <v>dfrieseq@cargocollective.com</v>
      </c>
      <c r="H532" s="2" t="str">
        <f>_xlfn.XLOOKUP(C532,customers!$A$1:$A$1001,customers!$G$1:$G$1001,,0,1)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6">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ID]],customers!$A$1:$A$1001,customers!$I$1:$I$1001,"",0,1)</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IF(_xlfn.XLOOKUP(C533,customers!$A$1:$A$1001,customers!$C$1:$C$1001,,0,1)=0,"",(_xlfn.XLOOKUP(C533,customers!$A$1:$A$1001,customers!$C$1:$C$1001,,0,1)))</f>
        <v>rsharerer@flavors.me</v>
      </c>
      <c r="H533" s="2" t="str">
        <f>_xlfn.XLOOKUP(C533,customers!$A$1:$A$1001,customers!$G$1:$G$1001,,0,1)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6">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ID]],customers!$A$1:$A$1001,customers!$I$1:$I$1001,"",0,1)</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IF(_xlfn.XLOOKUP(C534,customers!$A$1:$A$1001,customers!$C$1:$C$1001,,0,1)=0,"",(_xlfn.XLOOKUP(C534,customers!$A$1:$A$1001,customers!$C$1:$C$1001,,0,1)))</f>
        <v>nnasebyes@umich.edu</v>
      </c>
      <c r="H534" s="2" t="str">
        <f>_xlfn.XLOOKUP(C534,customers!$A$1:$A$1001,customers!$G$1:$G$1001,,0,1)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6">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ID]],customers!$A$1:$A$1001,customers!$I$1:$I$1001,"",0,1)</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IF(_xlfn.XLOOKUP(C535,customers!$A$1:$A$1001,customers!$C$1:$C$1001,,0,1)=0,"",(_xlfn.XLOOKUP(C535,customers!$A$1:$A$1001,customers!$C$1:$C$1001,,0,1)))</f>
        <v/>
      </c>
      <c r="H535" s="2" t="str">
        <f>_xlfn.XLOOKUP(C535,customers!$A$1:$A$1001,customers!$G$1:$G$1001,,0,1)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6">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ID]],customers!$A$1:$A$1001,customers!$I$1:$I$1001,"",0,1)</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IF(_xlfn.XLOOKUP(C536,customers!$A$1:$A$1001,customers!$C$1:$C$1001,,0,1)=0,"",(_xlfn.XLOOKUP(C536,customers!$A$1:$A$1001,customers!$C$1:$C$1001,,0,1)))</f>
        <v>koculleneu@ca.gov</v>
      </c>
      <c r="H536" s="2" t="str">
        <f>_xlfn.XLOOKUP(C536,customers!$A$1:$A$1001,customers!$G$1:$G$1001,,0,1)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6">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ID]],customers!$A$1:$A$1001,customers!$I$1:$I$1001,"",0,1)</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IF(_xlfn.XLOOKUP(C537,customers!$A$1:$A$1001,customers!$C$1:$C$1001,,0,1)=0,"",(_xlfn.XLOOKUP(C537,customers!$A$1:$A$1001,customers!$C$1:$C$1001,,0,1)))</f>
        <v/>
      </c>
      <c r="H537" s="2" t="str">
        <f>_xlfn.XLOOKUP(C537,customers!$A$1:$A$1001,customers!$G$1:$G$1001,,0,1)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6">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ID]],customers!$A$1:$A$1001,customers!$I$1:$I$1001,"",0,1)</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IF(_xlfn.XLOOKUP(C538,customers!$A$1:$A$1001,customers!$C$1:$C$1001,,0,1)=0,"",(_xlfn.XLOOKUP(C538,customers!$A$1:$A$1001,customers!$C$1:$C$1001,,0,1)))</f>
        <v>murione5@alexa.com</v>
      </c>
      <c r="H538" s="2" t="str">
        <f>_xlfn.XLOOKUP(C538,customers!$A$1:$A$1001,customers!$G$1:$G$1001,,0,1)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6">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ID]],customers!$A$1:$A$1001,customers!$I$1:$I$1001,"",0,1)</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IF(_xlfn.XLOOKUP(C539,customers!$A$1:$A$1001,customers!$C$1:$C$1001,,0,1)=0,"",(_xlfn.XLOOKUP(C539,customers!$A$1:$A$1001,customers!$C$1:$C$1001,,0,1)))</f>
        <v>hbranganex@woothemes.com</v>
      </c>
      <c r="H539" s="2" t="str">
        <f>_xlfn.XLOOKUP(C539,customers!$A$1:$A$1001,customers!$G$1:$G$1001,,0,1)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6">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ID]],customers!$A$1:$A$1001,customers!$I$1:$I$1001,"",0,1)</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IF(_xlfn.XLOOKUP(C540,customers!$A$1:$A$1001,customers!$C$1:$C$1001,,0,1)=0,"",(_xlfn.XLOOKUP(C540,customers!$A$1:$A$1001,customers!$C$1:$C$1001,,0,1)))</f>
        <v>agallyoney@engadget.com</v>
      </c>
      <c r="H540" s="2" t="str">
        <f>_xlfn.XLOOKUP(C540,customers!$A$1:$A$1001,customers!$G$1:$G$1001,,0,1)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6">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ID]],customers!$A$1:$A$1001,customers!$I$1:$I$1001,"",0,1)</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IF(_xlfn.XLOOKUP(C541,customers!$A$1:$A$1001,customers!$C$1:$C$1001,,0,1)=0,"",(_xlfn.XLOOKUP(C541,customers!$A$1:$A$1001,customers!$C$1:$C$1001,,0,1)))</f>
        <v>bdomangeez@yahoo.co.jp</v>
      </c>
      <c r="H541" s="2" t="str">
        <f>_xlfn.XLOOKUP(C541,customers!$A$1:$A$1001,customers!$G$1:$G$1001,,0,1)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6">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ID]],customers!$A$1:$A$1001,customers!$I$1:$I$1001,"",0,1)</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IF(_xlfn.XLOOKUP(C542,customers!$A$1:$A$1001,customers!$C$1:$C$1001,,0,1)=0,"",(_xlfn.XLOOKUP(C542,customers!$A$1:$A$1001,customers!$C$1:$C$1001,,0,1)))</f>
        <v>koslerf0@gmpg.org</v>
      </c>
      <c r="H542" s="2" t="str">
        <f>_xlfn.XLOOKUP(C542,customers!$A$1:$A$1001,customers!$G$1:$G$1001,,0,1)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6">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ID]],customers!$A$1:$A$1001,customers!$I$1:$I$1001,"",0,1)</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IF(_xlfn.XLOOKUP(C543,customers!$A$1:$A$1001,customers!$C$1:$C$1001,,0,1)=0,"",(_xlfn.XLOOKUP(C543,customers!$A$1:$A$1001,customers!$C$1:$C$1001,,0,1)))</f>
        <v/>
      </c>
      <c r="H543" s="2" t="str">
        <f>_xlfn.XLOOKUP(C543,customers!$A$1:$A$1001,customers!$G$1:$G$1001,,0,1)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6">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ID]],customers!$A$1:$A$1001,customers!$I$1:$I$1001,"",0,1)</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IF(_xlfn.XLOOKUP(C544,customers!$A$1:$A$1001,customers!$C$1:$C$1001,,0,1)=0,"",(_xlfn.XLOOKUP(C544,customers!$A$1:$A$1001,customers!$C$1:$C$1001,,0,1)))</f>
        <v>zpellettf2@dailymotion.com</v>
      </c>
      <c r="H544" s="2" t="str">
        <f>_xlfn.XLOOKUP(C544,customers!$A$1:$A$1001,customers!$G$1:$G$1001,,0,1)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6">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ID]],customers!$A$1:$A$1001,customers!$I$1:$I$1001,"",0,1)</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IF(_xlfn.XLOOKUP(C545,customers!$A$1:$A$1001,customers!$C$1:$C$1001,,0,1)=0,"",(_xlfn.XLOOKUP(C545,customers!$A$1:$A$1001,customers!$C$1:$C$1001,,0,1)))</f>
        <v>isprakesf3@spiegel.de</v>
      </c>
      <c r="H545" s="2" t="str">
        <f>_xlfn.XLOOKUP(C545,customers!$A$1:$A$1001,customers!$G$1:$G$1001,,0,1)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6">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ID]],customers!$A$1:$A$1001,customers!$I$1:$I$1001,"",0,1)</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IF(_xlfn.XLOOKUP(C546,customers!$A$1:$A$1001,customers!$C$1:$C$1001,,0,1)=0,"",(_xlfn.XLOOKUP(C546,customers!$A$1:$A$1001,customers!$C$1:$C$1001,,0,1)))</f>
        <v>hfromantf4@ucsd.edu</v>
      </c>
      <c r="H546" s="2" t="str">
        <f>_xlfn.XLOOKUP(C546,customers!$A$1:$A$1001,customers!$G$1:$G$1001,,0,1)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6">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ID]],customers!$A$1:$A$1001,customers!$I$1:$I$1001,"",0,1)</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IF(_xlfn.XLOOKUP(C547,customers!$A$1:$A$1001,customers!$C$1:$C$1001,,0,1)=0,"",(_xlfn.XLOOKUP(C547,customers!$A$1:$A$1001,customers!$C$1:$C$1001,,0,1)))</f>
        <v>rflearf5@artisteer.com</v>
      </c>
      <c r="H547" s="2" t="str">
        <f>_xlfn.XLOOKUP(C547,customers!$A$1:$A$1001,customers!$G$1:$G$1001,,0,1)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6">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ID]],customers!$A$1:$A$1001,customers!$I$1:$I$1001,"",0,1)</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IF(_xlfn.XLOOKUP(C548,customers!$A$1:$A$1001,customers!$C$1:$C$1001,,0,1)=0,"",(_xlfn.XLOOKUP(C548,customers!$A$1:$A$1001,customers!$C$1:$C$1001,,0,1)))</f>
        <v/>
      </c>
      <c r="H548" s="2" t="str">
        <f>_xlfn.XLOOKUP(C548,customers!$A$1:$A$1001,customers!$G$1:$G$1001,,0,1)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6">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ID]],customers!$A$1:$A$1001,customers!$I$1:$I$1001,"",0,1)</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IF(_xlfn.XLOOKUP(C549,customers!$A$1:$A$1001,customers!$C$1:$C$1001,,0,1)=0,"",(_xlfn.XLOOKUP(C549,customers!$A$1:$A$1001,customers!$C$1:$C$1001,,0,1)))</f>
        <v>wlightollersf9@baidu.com</v>
      </c>
      <c r="H549" s="2" t="str">
        <f>_xlfn.XLOOKUP(C549,customers!$A$1:$A$1001,customers!$G$1:$G$1001,,0,1)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6">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ID]],customers!$A$1:$A$1001,customers!$I$1:$I$1001,"",0,1)</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IF(_xlfn.XLOOKUP(C550,customers!$A$1:$A$1001,customers!$C$1:$C$1001,,0,1)=0,"",(_xlfn.XLOOKUP(C550,customers!$A$1:$A$1001,customers!$C$1:$C$1001,,0,1)))</f>
        <v>bmundenf8@elpais.com</v>
      </c>
      <c r="H550" s="2" t="str">
        <f>_xlfn.XLOOKUP(C550,customers!$A$1:$A$1001,customers!$G$1:$G$1001,,0,1)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6">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ID]],customers!$A$1:$A$1001,customers!$I$1:$I$1001,"",0,1)</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IF(_xlfn.XLOOKUP(C551,customers!$A$1:$A$1001,customers!$C$1:$C$1001,,0,1)=0,"",(_xlfn.XLOOKUP(C551,customers!$A$1:$A$1001,customers!$C$1:$C$1001,,0,1)))</f>
        <v>wlightollersf9@baidu.com</v>
      </c>
      <c r="H551" s="2" t="str">
        <f>_xlfn.XLOOKUP(C551,customers!$A$1:$A$1001,customers!$G$1:$G$1001,,0,1)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6">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ID]],customers!$A$1:$A$1001,customers!$I$1:$I$1001,"",0,1)</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IF(_xlfn.XLOOKUP(C552,customers!$A$1:$A$1001,customers!$C$1:$C$1001,,0,1)=0,"",(_xlfn.XLOOKUP(C552,customers!$A$1:$A$1001,customers!$C$1:$C$1001,,0,1)))</f>
        <v>nbrakespearfa@rediff.com</v>
      </c>
      <c r="H552" s="2" t="str">
        <f>_xlfn.XLOOKUP(C552,customers!$A$1:$A$1001,customers!$G$1:$G$1001,,0,1)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6">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ID]],customers!$A$1:$A$1001,customers!$I$1:$I$1001,"",0,1)</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IF(_xlfn.XLOOKUP(C553,customers!$A$1:$A$1001,customers!$C$1:$C$1001,,0,1)=0,"",(_xlfn.XLOOKUP(C553,customers!$A$1:$A$1001,customers!$C$1:$C$1001,,0,1)))</f>
        <v>mglawsopfb@reverbnation.com</v>
      </c>
      <c r="H553" s="2" t="str">
        <f>_xlfn.XLOOKUP(C553,customers!$A$1:$A$1001,customers!$G$1:$G$1001,,0,1)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6">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ID]],customers!$A$1:$A$1001,customers!$I$1:$I$1001,"",0,1)</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IF(_xlfn.XLOOKUP(C554,customers!$A$1:$A$1001,customers!$C$1:$C$1001,,0,1)=0,"",(_xlfn.XLOOKUP(C554,customers!$A$1:$A$1001,customers!$C$1:$C$1001,,0,1)))</f>
        <v>galbertsfc@etsy.com</v>
      </c>
      <c r="H554" s="2" t="str">
        <f>_xlfn.XLOOKUP(C554,customers!$A$1:$A$1001,customers!$G$1:$G$1001,,0,1)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6">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ID]],customers!$A$1:$A$1001,customers!$I$1:$I$1001,"",0,1)</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IF(_xlfn.XLOOKUP(C555,customers!$A$1:$A$1001,customers!$C$1:$C$1001,,0,1)=0,"",(_xlfn.XLOOKUP(C555,customers!$A$1:$A$1001,customers!$C$1:$C$1001,,0,1)))</f>
        <v>vpolglasefd@about.me</v>
      </c>
      <c r="H555" s="2" t="str">
        <f>_xlfn.XLOOKUP(C555,customers!$A$1:$A$1001,customers!$G$1:$G$1001,,0,1)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6">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ID]],customers!$A$1:$A$1001,customers!$I$1:$I$1001,"",0,1)</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IF(_xlfn.XLOOKUP(C556,customers!$A$1:$A$1001,customers!$C$1:$C$1001,,0,1)=0,"",(_xlfn.XLOOKUP(C556,customers!$A$1:$A$1001,customers!$C$1:$C$1001,,0,1)))</f>
        <v/>
      </c>
      <c r="H556" s="2" t="str">
        <f>_xlfn.XLOOKUP(C556,customers!$A$1:$A$1001,customers!$G$1:$G$1001,,0,1)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6">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ID]],customers!$A$1:$A$1001,customers!$I$1:$I$1001,"",0,1)</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IF(_xlfn.XLOOKUP(C557,customers!$A$1:$A$1001,customers!$C$1:$C$1001,,0,1)=0,"",(_xlfn.XLOOKUP(C557,customers!$A$1:$A$1001,customers!$C$1:$C$1001,,0,1)))</f>
        <v>sbuschff@so-net.ne.jp</v>
      </c>
      <c r="H557" s="2" t="str">
        <f>_xlfn.XLOOKUP(C557,customers!$A$1:$A$1001,customers!$G$1:$G$1001,,0,1)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6">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ID]],customers!$A$1:$A$1001,customers!$I$1:$I$1001,"",0,1)</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IF(_xlfn.XLOOKUP(C558,customers!$A$1:$A$1001,customers!$C$1:$C$1001,,0,1)=0,"",(_xlfn.XLOOKUP(C558,customers!$A$1:$A$1001,customers!$C$1:$C$1001,,0,1)))</f>
        <v>craisbeckfg@webnode.com</v>
      </c>
      <c r="H558" s="2" t="str">
        <f>_xlfn.XLOOKUP(C558,customers!$A$1:$A$1001,customers!$G$1:$G$1001,,0,1)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6">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ID]],customers!$A$1:$A$1001,customers!$I$1:$I$1001,"",0,1)</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IF(_xlfn.XLOOKUP(C559,customers!$A$1:$A$1001,customers!$C$1:$C$1001,,0,1)=0,"",(_xlfn.XLOOKUP(C559,customers!$A$1:$A$1001,customers!$C$1:$C$1001,,0,1)))</f>
        <v>murione5@alexa.com</v>
      </c>
      <c r="H559" s="2" t="str">
        <f>_xlfn.XLOOKUP(C559,customers!$A$1:$A$1001,customers!$G$1:$G$1001,,0,1)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6">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ID]],customers!$A$1:$A$1001,customers!$I$1:$I$1001,"",0,1)</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IF(_xlfn.XLOOKUP(C560,customers!$A$1:$A$1001,customers!$C$1:$C$1001,,0,1)=0,"",(_xlfn.XLOOKUP(C560,customers!$A$1:$A$1001,customers!$C$1:$C$1001,,0,1)))</f>
        <v/>
      </c>
      <c r="H560" s="2" t="str">
        <f>_xlfn.XLOOKUP(C560,customers!$A$1:$A$1001,customers!$G$1:$G$1001,,0,1)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6">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ID]],customers!$A$1:$A$1001,customers!$I$1:$I$1001,"",0,1)</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IF(_xlfn.XLOOKUP(C561,customers!$A$1:$A$1001,customers!$C$1:$C$1001,,0,1)=0,"",(_xlfn.XLOOKUP(C561,customers!$A$1:$A$1001,customers!$C$1:$C$1001,,0,1)))</f>
        <v>raynoldfj@ustream.tv</v>
      </c>
      <c r="H561" s="2" t="str">
        <f>_xlfn.XLOOKUP(C561,customers!$A$1:$A$1001,customers!$G$1:$G$1001,,0,1)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6">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ID]],customers!$A$1:$A$1001,customers!$I$1:$I$1001,"",0,1)</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IF(_xlfn.XLOOKUP(C562,customers!$A$1:$A$1001,customers!$C$1:$C$1001,,0,1)=0,"",(_xlfn.XLOOKUP(C562,customers!$A$1:$A$1001,customers!$C$1:$C$1001,,0,1)))</f>
        <v/>
      </c>
      <c r="H562" s="2" t="str">
        <f>_xlfn.XLOOKUP(C562,customers!$A$1:$A$1001,customers!$G$1:$G$1001,,0,1)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6">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ID]],customers!$A$1:$A$1001,customers!$I$1:$I$1001,"",0,1)</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IF(_xlfn.XLOOKUP(C563,customers!$A$1:$A$1001,customers!$C$1:$C$1001,,0,1)=0,"",(_xlfn.XLOOKUP(C563,customers!$A$1:$A$1001,customers!$C$1:$C$1001,,0,1)))</f>
        <v/>
      </c>
      <c r="H563" s="2" t="str">
        <f>_xlfn.XLOOKUP(C563,customers!$A$1:$A$1001,customers!$G$1:$G$1001,,0,1)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6">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ID]],customers!$A$1:$A$1001,customers!$I$1:$I$1001,"",0,1)</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IF(_xlfn.XLOOKUP(C564,customers!$A$1:$A$1001,customers!$C$1:$C$1001,,0,1)=0,"",(_xlfn.XLOOKUP(C564,customers!$A$1:$A$1001,customers!$C$1:$C$1001,,0,1)))</f>
        <v>bgrecefm@naver.com</v>
      </c>
      <c r="H564" s="2" t="str">
        <f>_xlfn.XLOOKUP(C564,customers!$A$1:$A$1001,customers!$G$1:$G$1001,,0,1)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6">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ID]],customers!$A$1:$A$1001,customers!$I$1:$I$1001,"",0,1)</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IF(_xlfn.XLOOKUP(C565,customers!$A$1:$A$1001,customers!$C$1:$C$1001,,0,1)=0,"",(_xlfn.XLOOKUP(C565,customers!$A$1:$A$1001,customers!$C$1:$C$1001,,0,1)))</f>
        <v>dflintiffg1@e-recht24.de</v>
      </c>
      <c r="H565" s="2" t="str">
        <f>_xlfn.XLOOKUP(C565,customers!$A$1:$A$1001,customers!$G$1:$G$1001,,0,1)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6">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ID]],customers!$A$1:$A$1001,customers!$I$1:$I$1001,"",0,1)</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IF(_xlfn.XLOOKUP(C566,customers!$A$1:$A$1001,customers!$C$1:$C$1001,,0,1)=0,"",(_xlfn.XLOOKUP(C566,customers!$A$1:$A$1001,customers!$C$1:$C$1001,,0,1)))</f>
        <v>athysfo@cdc.gov</v>
      </c>
      <c r="H566" s="2" t="str">
        <f>_xlfn.XLOOKUP(C566,customers!$A$1:$A$1001,customers!$G$1:$G$1001,,0,1)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6">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ID]],customers!$A$1:$A$1001,customers!$I$1:$I$1001,"",0,1)</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IF(_xlfn.XLOOKUP(C567,customers!$A$1:$A$1001,customers!$C$1:$C$1001,,0,1)=0,"",(_xlfn.XLOOKUP(C567,customers!$A$1:$A$1001,customers!$C$1:$C$1001,,0,1)))</f>
        <v>jchuggfp@about.me</v>
      </c>
      <c r="H567" s="2" t="str">
        <f>_xlfn.XLOOKUP(C567,customers!$A$1:$A$1001,customers!$G$1:$G$1001,,0,1)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6">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ID]],customers!$A$1:$A$1001,customers!$I$1:$I$1001,"",0,1)</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IF(_xlfn.XLOOKUP(C568,customers!$A$1:$A$1001,customers!$C$1:$C$1001,,0,1)=0,"",(_xlfn.XLOOKUP(C568,customers!$A$1:$A$1001,customers!$C$1:$C$1001,,0,1)))</f>
        <v>akelstonfq@sakura.ne.jp</v>
      </c>
      <c r="H568" s="2" t="str">
        <f>_xlfn.XLOOKUP(C568,customers!$A$1:$A$1001,customers!$G$1:$G$1001,,0,1)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6">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ID]],customers!$A$1:$A$1001,customers!$I$1:$I$1001,"",0,1)</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IF(_xlfn.XLOOKUP(C569,customers!$A$1:$A$1001,customers!$C$1:$C$1001,,0,1)=0,"",(_xlfn.XLOOKUP(C569,customers!$A$1:$A$1001,customers!$C$1:$C$1001,,0,1)))</f>
        <v/>
      </c>
      <c r="H569" s="2" t="str">
        <f>_xlfn.XLOOKUP(C569,customers!$A$1:$A$1001,customers!$G$1:$G$1001,,0,1)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6">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ID]],customers!$A$1:$A$1001,customers!$I$1:$I$1001,"",0,1)</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IF(_xlfn.XLOOKUP(C570,customers!$A$1:$A$1001,customers!$C$1:$C$1001,,0,1)=0,"",(_xlfn.XLOOKUP(C570,customers!$A$1:$A$1001,customers!$C$1:$C$1001,,0,1)))</f>
        <v>cmottramfs@harvard.edu</v>
      </c>
      <c r="H570" s="2" t="str">
        <f>_xlfn.XLOOKUP(C570,customers!$A$1:$A$1001,customers!$G$1:$G$1001,,0,1)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6">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ID]],customers!$A$1:$A$1001,customers!$I$1:$I$1001,"",0,1)</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IF(_xlfn.XLOOKUP(C571,customers!$A$1:$A$1001,customers!$C$1:$C$1001,,0,1)=0,"",(_xlfn.XLOOKUP(C571,customers!$A$1:$A$1001,customers!$C$1:$C$1001,,0,1)))</f>
        <v>dflintiffg1@e-recht24.de</v>
      </c>
      <c r="H571" s="2" t="str">
        <f>_xlfn.XLOOKUP(C571,customers!$A$1:$A$1001,customers!$G$1:$G$1001,,0,1)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6">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ID]],customers!$A$1:$A$1001,customers!$I$1:$I$1001,"",0,1)</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IF(_xlfn.XLOOKUP(C572,customers!$A$1:$A$1001,customers!$C$1:$C$1001,,0,1)=0,"",(_xlfn.XLOOKUP(C572,customers!$A$1:$A$1001,customers!$C$1:$C$1001,,0,1)))</f>
        <v>dsangwinfu@weebly.com</v>
      </c>
      <c r="H572" s="2" t="str">
        <f>_xlfn.XLOOKUP(C572,customers!$A$1:$A$1001,customers!$G$1:$G$1001,,0,1)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6">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ID]],customers!$A$1:$A$1001,customers!$I$1:$I$1001,"",0,1)</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IF(_xlfn.XLOOKUP(C573,customers!$A$1:$A$1001,customers!$C$1:$C$1001,,0,1)=0,"",(_xlfn.XLOOKUP(C573,customers!$A$1:$A$1001,customers!$C$1:$C$1001,,0,1)))</f>
        <v>eaizikowitzfv@virginia.edu</v>
      </c>
      <c r="H573" s="2" t="str">
        <f>_xlfn.XLOOKUP(C573,customers!$A$1:$A$1001,customers!$G$1:$G$1001,,0,1)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6">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ID]],customers!$A$1:$A$1001,customers!$I$1:$I$1001,"",0,1)</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IF(_xlfn.XLOOKUP(C574,customers!$A$1:$A$1001,customers!$C$1:$C$1001,,0,1)=0,"",(_xlfn.XLOOKUP(C574,customers!$A$1:$A$1001,customers!$C$1:$C$1001,,0,1)))</f>
        <v/>
      </c>
      <c r="H574" s="2" t="str">
        <f>_xlfn.XLOOKUP(C574,customers!$A$1:$A$1001,customers!$G$1:$G$1001,,0,1)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6">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ID]],customers!$A$1:$A$1001,customers!$I$1:$I$1001,"",0,1)</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IF(_xlfn.XLOOKUP(C575,customers!$A$1:$A$1001,customers!$C$1:$C$1001,,0,1)=0,"",(_xlfn.XLOOKUP(C575,customers!$A$1:$A$1001,customers!$C$1:$C$1001,,0,1)))</f>
        <v>cvenourfx@ask.com</v>
      </c>
      <c r="H575" s="2" t="str">
        <f>_xlfn.XLOOKUP(C575,customers!$A$1:$A$1001,customers!$G$1:$G$1001,,0,1)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6">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ID]],customers!$A$1:$A$1001,customers!$I$1:$I$1001,"",0,1)</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IF(_xlfn.XLOOKUP(C576,customers!$A$1:$A$1001,customers!$C$1:$C$1001,,0,1)=0,"",(_xlfn.XLOOKUP(C576,customers!$A$1:$A$1001,customers!$C$1:$C$1001,,0,1)))</f>
        <v>mharbyfy@163.com</v>
      </c>
      <c r="H576" s="2" t="str">
        <f>_xlfn.XLOOKUP(C576,customers!$A$1:$A$1001,customers!$G$1:$G$1001,,0,1)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6">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ID]],customers!$A$1:$A$1001,customers!$I$1:$I$1001,"",0,1)</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IF(_xlfn.XLOOKUP(C577,customers!$A$1:$A$1001,customers!$C$1:$C$1001,,0,1)=0,"",(_xlfn.XLOOKUP(C577,customers!$A$1:$A$1001,customers!$C$1:$C$1001,,0,1)))</f>
        <v>rthickpennyfz@cafepress.com</v>
      </c>
      <c r="H577" s="2" t="str">
        <f>_xlfn.XLOOKUP(C577,customers!$A$1:$A$1001,customers!$G$1:$G$1001,,0,1)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6">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ID]],customers!$A$1:$A$1001,customers!$I$1:$I$1001,"",0,1)</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IF(_xlfn.XLOOKUP(C578,customers!$A$1:$A$1001,customers!$C$1:$C$1001,,0,1)=0,"",(_xlfn.XLOOKUP(C578,customers!$A$1:$A$1001,customers!$C$1:$C$1001,,0,1)))</f>
        <v>pormerodg0@redcross.org</v>
      </c>
      <c r="H578" s="2" t="str">
        <f>_xlfn.XLOOKUP(C578,customers!$A$1:$A$1001,customers!$G$1:$G$1001,,0,1)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6">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ID]],customers!$A$1:$A$1001,customers!$I$1:$I$1001,"",0,1)</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IF(_xlfn.XLOOKUP(C579,customers!$A$1:$A$1001,customers!$C$1:$C$1001,,0,1)=0,"",(_xlfn.XLOOKUP(C579,customers!$A$1:$A$1001,customers!$C$1:$C$1001,,0,1)))</f>
        <v>dflintiffg1@e-recht24.de</v>
      </c>
      <c r="H579" s="2" t="str">
        <f>_xlfn.XLOOKUP(C579,customers!$A$1:$A$1001,customers!$G$1:$G$1001,,0,1)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6">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ID]],customers!$A$1:$A$1001,customers!$I$1:$I$1001,"",0,1)</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IF(_xlfn.XLOOKUP(C580,customers!$A$1:$A$1001,customers!$C$1:$C$1001,,0,1)=0,"",(_xlfn.XLOOKUP(C580,customers!$A$1:$A$1001,customers!$C$1:$C$1001,,0,1)))</f>
        <v>tzanettig2@gravatar.com</v>
      </c>
      <c r="H580" s="2" t="str">
        <f>_xlfn.XLOOKUP(C580,customers!$A$1:$A$1001,customers!$G$1:$G$1001,,0,1)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6">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ID]],customers!$A$1:$A$1001,customers!$I$1:$I$1001,"",0,1)</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IF(_xlfn.XLOOKUP(C581,customers!$A$1:$A$1001,customers!$C$1:$C$1001,,0,1)=0,"",(_xlfn.XLOOKUP(C581,customers!$A$1:$A$1001,customers!$C$1:$C$1001,,0,1)))</f>
        <v>tzanettig2@gravatar.com</v>
      </c>
      <c r="H581" s="2" t="str">
        <f>_xlfn.XLOOKUP(C581,customers!$A$1:$A$1001,customers!$G$1:$G$1001,,0,1)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6">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ID]],customers!$A$1:$A$1001,customers!$I$1:$I$1001,"",0,1)</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IF(_xlfn.XLOOKUP(C582,customers!$A$1:$A$1001,customers!$C$1:$C$1001,,0,1)=0,"",(_xlfn.XLOOKUP(C582,customers!$A$1:$A$1001,customers!$C$1:$C$1001,,0,1)))</f>
        <v>rkirtleyg4@hatena.ne.jp</v>
      </c>
      <c r="H582" s="2" t="str">
        <f>_xlfn.XLOOKUP(C582,customers!$A$1:$A$1001,customers!$G$1:$G$1001,,0,1)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6">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ID]],customers!$A$1:$A$1001,customers!$I$1:$I$1001,"",0,1)</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IF(_xlfn.XLOOKUP(C583,customers!$A$1:$A$1001,customers!$C$1:$C$1001,,0,1)=0,"",(_xlfn.XLOOKUP(C583,customers!$A$1:$A$1001,customers!$C$1:$C$1001,,0,1)))</f>
        <v>cclemencetg5@weather.com</v>
      </c>
      <c r="H583" s="2" t="str">
        <f>_xlfn.XLOOKUP(C583,customers!$A$1:$A$1001,customers!$G$1:$G$1001,,0,1)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6">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ID]],customers!$A$1:$A$1001,customers!$I$1:$I$1001,"",0,1)</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IF(_xlfn.XLOOKUP(C584,customers!$A$1:$A$1001,customers!$C$1:$C$1001,,0,1)=0,"",(_xlfn.XLOOKUP(C584,customers!$A$1:$A$1001,customers!$C$1:$C$1001,,0,1)))</f>
        <v>rdonetg6@oakley.com</v>
      </c>
      <c r="H584" s="2" t="str">
        <f>_xlfn.XLOOKUP(C584,customers!$A$1:$A$1001,customers!$G$1:$G$1001,,0,1)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6">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ID]],customers!$A$1:$A$1001,customers!$I$1:$I$1001,"",0,1)</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IF(_xlfn.XLOOKUP(C585,customers!$A$1:$A$1001,customers!$C$1:$C$1001,,0,1)=0,"",(_xlfn.XLOOKUP(C585,customers!$A$1:$A$1001,customers!$C$1:$C$1001,,0,1)))</f>
        <v>sgaweng7@creativecommons.org</v>
      </c>
      <c r="H585" s="2" t="str">
        <f>_xlfn.XLOOKUP(C585,customers!$A$1:$A$1001,customers!$G$1:$G$1001,,0,1)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6">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ID]],customers!$A$1:$A$1001,customers!$I$1:$I$1001,"",0,1)</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IF(_xlfn.XLOOKUP(C586,customers!$A$1:$A$1001,customers!$C$1:$C$1001,,0,1)=0,"",(_xlfn.XLOOKUP(C586,customers!$A$1:$A$1001,customers!$C$1:$C$1001,,0,1)))</f>
        <v>rreadieg8@guardian.co.uk</v>
      </c>
      <c r="H586" s="2" t="str">
        <f>_xlfn.XLOOKUP(C586,customers!$A$1:$A$1001,customers!$G$1:$G$1001,,0,1)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6">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ID]],customers!$A$1:$A$1001,customers!$I$1:$I$1001,"",0,1)</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IF(_xlfn.XLOOKUP(C587,customers!$A$1:$A$1001,customers!$C$1:$C$1001,,0,1)=0,"",(_xlfn.XLOOKUP(C587,customers!$A$1:$A$1001,customers!$C$1:$C$1001,,0,1)))</f>
        <v>cverissimogh@theglobeandmail.com</v>
      </c>
      <c r="H587" s="2" t="str">
        <f>_xlfn.XLOOKUP(C587,customers!$A$1:$A$1001,customers!$G$1:$G$1001,,0,1)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6">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ID]],customers!$A$1:$A$1001,customers!$I$1:$I$1001,"",0,1)</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IF(_xlfn.XLOOKUP(C588,customers!$A$1:$A$1001,customers!$C$1:$C$1001,,0,1)=0,"",(_xlfn.XLOOKUP(C588,customers!$A$1:$A$1001,customers!$C$1:$C$1001,,0,1)))</f>
        <v/>
      </c>
      <c r="H588" s="2" t="str">
        <f>_xlfn.XLOOKUP(C588,customers!$A$1:$A$1001,customers!$G$1:$G$1001,,0,1)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6">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ID]],customers!$A$1:$A$1001,customers!$I$1:$I$1001,"",0,1)</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IF(_xlfn.XLOOKUP(C589,customers!$A$1:$A$1001,customers!$C$1:$C$1001,,0,1)=0,"",(_xlfn.XLOOKUP(C589,customers!$A$1:$A$1001,customers!$C$1:$C$1001,,0,1)))</f>
        <v>bogb@elpais.com</v>
      </c>
      <c r="H589" s="2" t="str">
        <f>_xlfn.XLOOKUP(C589,customers!$A$1:$A$1001,customers!$G$1:$G$1001,,0,1)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6">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ID]],customers!$A$1:$A$1001,customers!$I$1:$I$1001,"",0,1)</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IF(_xlfn.XLOOKUP(C590,customers!$A$1:$A$1001,customers!$C$1:$C$1001,,0,1)=0,"",(_xlfn.XLOOKUP(C590,customers!$A$1:$A$1001,customers!$C$1:$C$1001,,0,1)))</f>
        <v>vstansburygc@unblog.fr</v>
      </c>
      <c r="H590" s="2" t="str">
        <f>_xlfn.XLOOKUP(C590,customers!$A$1:$A$1001,customers!$G$1:$G$1001,,0,1)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6">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ID]],customers!$A$1:$A$1001,customers!$I$1:$I$1001,"",0,1)</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IF(_xlfn.XLOOKUP(C591,customers!$A$1:$A$1001,customers!$C$1:$C$1001,,0,1)=0,"",(_xlfn.XLOOKUP(C591,customers!$A$1:$A$1001,customers!$C$1:$C$1001,,0,1)))</f>
        <v>dheinonengd@printfriendly.com</v>
      </c>
      <c r="H591" s="2" t="str">
        <f>_xlfn.XLOOKUP(C591,customers!$A$1:$A$1001,customers!$G$1:$G$1001,,0,1)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6">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ID]],customers!$A$1:$A$1001,customers!$I$1:$I$1001,"",0,1)</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IF(_xlfn.XLOOKUP(C592,customers!$A$1:$A$1001,customers!$C$1:$C$1001,,0,1)=0,"",(_xlfn.XLOOKUP(C592,customers!$A$1:$A$1001,customers!$C$1:$C$1001,,0,1)))</f>
        <v>jshentonge@google.com.hk</v>
      </c>
      <c r="H592" s="2" t="str">
        <f>_xlfn.XLOOKUP(C592,customers!$A$1:$A$1001,customers!$G$1:$G$1001,,0,1)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6">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ID]],customers!$A$1:$A$1001,customers!$I$1:$I$1001,"",0,1)</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IF(_xlfn.XLOOKUP(C593,customers!$A$1:$A$1001,customers!$C$1:$C$1001,,0,1)=0,"",(_xlfn.XLOOKUP(C593,customers!$A$1:$A$1001,customers!$C$1:$C$1001,,0,1)))</f>
        <v>jwilkissongf@nba.com</v>
      </c>
      <c r="H593" s="2" t="str">
        <f>_xlfn.XLOOKUP(C593,customers!$A$1:$A$1001,customers!$G$1:$G$1001,,0,1)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6">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ID]],customers!$A$1:$A$1001,customers!$I$1:$I$1001,"",0,1)</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IF(_xlfn.XLOOKUP(C594,customers!$A$1:$A$1001,customers!$C$1:$C$1001,,0,1)=0,"",(_xlfn.XLOOKUP(C594,customers!$A$1:$A$1001,customers!$C$1:$C$1001,,0,1)))</f>
        <v/>
      </c>
      <c r="H594" s="2" t="str">
        <f>_xlfn.XLOOKUP(C594,customers!$A$1:$A$1001,customers!$G$1:$G$1001,,0,1)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6">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ID]],customers!$A$1:$A$1001,customers!$I$1:$I$1001,"",0,1)</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IF(_xlfn.XLOOKUP(C595,customers!$A$1:$A$1001,customers!$C$1:$C$1001,,0,1)=0,"",(_xlfn.XLOOKUP(C595,customers!$A$1:$A$1001,customers!$C$1:$C$1001,,0,1)))</f>
        <v>cverissimogh@theglobeandmail.com</v>
      </c>
      <c r="H595" s="2" t="str">
        <f>_xlfn.XLOOKUP(C595,customers!$A$1:$A$1001,customers!$G$1:$G$1001,,0,1)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6">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ID]],customers!$A$1:$A$1001,customers!$I$1:$I$1001,"",0,1)</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IF(_xlfn.XLOOKUP(C596,customers!$A$1:$A$1001,customers!$C$1:$C$1001,,0,1)=0,"",(_xlfn.XLOOKUP(C596,customers!$A$1:$A$1001,customers!$C$1:$C$1001,,0,1)))</f>
        <v>gstarcksgi@abc.net.au</v>
      </c>
      <c r="H596" s="2" t="str">
        <f>_xlfn.XLOOKUP(C596,customers!$A$1:$A$1001,customers!$G$1:$G$1001,,0,1)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6">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ID]],customers!$A$1:$A$1001,customers!$I$1:$I$1001,"",0,1)</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IF(_xlfn.XLOOKUP(C597,customers!$A$1:$A$1001,customers!$C$1:$C$1001,,0,1)=0,"",(_xlfn.XLOOKUP(C597,customers!$A$1:$A$1001,customers!$C$1:$C$1001,,0,1)))</f>
        <v/>
      </c>
      <c r="H597" s="2" t="str">
        <f>_xlfn.XLOOKUP(C597,customers!$A$1:$A$1001,customers!$G$1:$G$1001,,0,1)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6">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ID]],customers!$A$1:$A$1001,customers!$I$1:$I$1001,"",0,1)</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IF(_xlfn.XLOOKUP(C598,customers!$A$1:$A$1001,customers!$C$1:$C$1001,,0,1)=0,"",(_xlfn.XLOOKUP(C598,customers!$A$1:$A$1001,customers!$C$1:$C$1001,,0,1)))</f>
        <v>kscholardgk@sbwire.com</v>
      </c>
      <c r="H598" s="2" t="str">
        <f>_xlfn.XLOOKUP(C598,customers!$A$1:$A$1001,customers!$G$1:$G$1001,,0,1)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6">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ID]],customers!$A$1:$A$1001,customers!$I$1:$I$1001,"",0,1)</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IF(_xlfn.XLOOKUP(C599,customers!$A$1:$A$1001,customers!$C$1:$C$1001,,0,1)=0,"",(_xlfn.XLOOKUP(C599,customers!$A$1:$A$1001,customers!$C$1:$C$1001,,0,1)))</f>
        <v>bkindleygl@wikimedia.org</v>
      </c>
      <c r="H599" s="2" t="str">
        <f>_xlfn.XLOOKUP(C599,customers!$A$1:$A$1001,customers!$G$1:$G$1001,,0,1)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6">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ID]],customers!$A$1:$A$1001,customers!$I$1:$I$1001,"",0,1)</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IF(_xlfn.XLOOKUP(C600,customers!$A$1:$A$1001,customers!$C$1:$C$1001,,0,1)=0,"",(_xlfn.XLOOKUP(C600,customers!$A$1:$A$1001,customers!$C$1:$C$1001,,0,1)))</f>
        <v>khammettgm@dmoz.org</v>
      </c>
      <c r="H600" s="2" t="str">
        <f>_xlfn.XLOOKUP(C600,customers!$A$1:$A$1001,customers!$G$1:$G$1001,,0,1)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6">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ID]],customers!$A$1:$A$1001,customers!$I$1:$I$1001,"",0,1)</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IF(_xlfn.XLOOKUP(C601,customers!$A$1:$A$1001,customers!$C$1:$C$1001,,0,1)=0,"",(_xlfn.XLOOKUP(C601,customers!$A$1:$A$1001,customers!$C$1:$C$1001,,0,1)))</f>
        <v>ahulburtgn@fda.gov</v>
      </c>
      <c r="H601" s="2" t="str">
        <f>_xlfn.XLOOKUP(C601,customers!$A$1:$A$1001,customers!$G$1:$G$1001,,0,1)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6">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ID]],customers!$A$1:$A$1001,customers!$I$1:$I$1001,"",0,1)</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IF(_xlfn.XLOOKUP(C602,customers!$A$1:$A$1001,customers!$C$1:$C$1001,,0,1)=0,"",(_xlfn.XLOOKUP(C602,customers!$A$1:$A$1001,customers!$C$1:$C$1001,,0,1)))</f>
        <v>plauritzengo@photobucket.com</v>
      </c>
      <c r="H602" s="2" t="str">
        <f>_xlfn.XLOOKUP(C602,customers!$A$1:$A$1001,customers!$G$1:$G$1001,,0,1)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6">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ID]],customers!$A$1:$A$1001,customers!$I$1:$I$1001,"",0,1)</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IF(_xlfn.XLOOKUP(C603,customers!$A$1:$A$1001,customers!$C$1:$C$1001,,0,1)=0,"",(_xlfn.XLOOKUP(C603,customers!$A$1:$A$1001,customers!$C$1:$C$1001,,0,1)))</f>
        <v>aburgwingp@redcross.org</v>
      </c>
      <c r="H603" s="2" t="str">
        <f>_xlfn.XLOOKUP(C603,customers!$A$1:$A$1001,customers!$G$1:$G$1001,,0,1)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6">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ID]],customers!$A$1:$A$1001,customers!$I$1:$I$1001,"",0,1)</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IF(_xlfn.XLOOKUP(C604,customers!$A$1:$A$1001,customers!$C$1:$C$1001,,0,1)=0,"",(_xlfn.XLOOKUP(C604,customers!$A$1:$A$1001,customers!$C$1:$C$1001,,0,1)))</f>
        <v>erolingq@google.fr</v>
      </c>
      <c r="H604" s="2" t="str">
        <f>_xlfn.XLOOKUP(C604,customers!$A$1:$A$1001,customers!$G$1:$G$1001,,0,1)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6">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ID]],customers!$A$1:$A$1001,customers!$I$1:$I$1001,"",0,1)</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IF(_xlfn.XLOOKUP(C605,customers!$A$1:$A$1001,customers!$C$1:$C$1001,,0,1)=0,"",(_xlfn.XLOOKUP(C605,customers!$A$1:$A$1001,customers!$C$1:$C$1001,,0,1)))</f>
        <v>dfowlegr@epa.gov</v>
      </c>
      <c r="H605" s="2" t="str">
        <f>_xlfn.XLOOKUP(C605,customers!$A$1:$A$1001,customers!$G$1:$G$1001,,0,1)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6">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ID]],customers!$A$1:$A$1001,customers!$I$1:$I$1001,"",0,1)</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IF(_xlfn.XLOOKUP(C606,customers!$A$1:$A$1001,customers!$C$1:$C$1001,,0,1)=0,"",(_xlfn.XLOOKUP(C606,customers!$A$1:$A$1001,customers!$C$1:$C$1001,,0,1)))</f>
        <v/>
      </c>
      <c r="H606" s="2" t="str">
        <f>_xlfn.XLOOKUP(C606,customers!$A$1:$A$1001,customers!$G$1:$G$1001,,0,1)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6">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ID]],customers!$A$1:$A$1001,customers!$I$1:$I$1001,"",0,1)</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IF(_xlfn.XLOOKUP(C607,customers!$A$1:$A$1001,customers!$C$1:$C$1001,,0,1)=0,"",(_xlfn.XLOOKUP(C607,customers!$A$1:$A$1001,customers!$C$1:$C$1001,,0,1)))</f>
        <v>wpowleslandgt@soundcloud.com</v>
      </c>
      <c r="H607" s="2" t="str">
        <f>_xlfn.XLOOKUP(C607,customers!$A$1:$A$1001,customers!$G$1:$G$1001,,0,1)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6">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ID]],customers!$A$1:$A$1001,customers!$I$1:$I$1001,"",0,1)</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IF(_xlfn.XLOOKUP(C608,customers!$A$1:$A$1001,customers!$C$1:$C$1001,,0,1)=0,"",(_xlfn.XLOOKUP(C608,customers!$A$1:$A$1001,customers!$C$1:$C$1001,,0,1)))</f>
        <v>cverissimogh@theglobeandmail.com</v>
      </c>
      <c r="H608" s="2" t="str">
        <f>_xlfn.XLOOKUP(C608,customers!$A$1:$A$1001,customers!$G$1:$G$1001,,0,1)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6">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ID]],customers!$A$1:$A$1001,customers!$I$1:$I$1001,"",0,1)</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IF(_xlfn.XLOOKUP(C609,customers!$A$1:$A$1001,customers!$C$1:$C$1001,,0,1)=0,"",(_xlfn.XLOOKUP(C609,customers!$A$1:$A$1001,customers!$C$1:$C$1001,,0,1)))</f>
        <v>lellinghamgv@sciencedaily.com</v>
      </c>
      <c r="H609" s="2" t="str">
        <f>_xlfn.XLOOKUP(C609,customers!$A$1:$A$1001,customers!$G$1:$G$1001,,0,1)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6">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ID]],customers!$A$1:$A$1001,customers!$I$1:$I$1001,"",0,1)</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IF(_xlfn.XLOOKUP(C610,customers!$A$1:$A$1001,customers!$C$1:$C$1001,,0,1)=0,"",(_xlfn.XLOOKUP(C610,customers!$A$1:$A$1001,customers!$C$1:$C$1001,,0,1)))</f>
        <v/>
      </c>
      <c r="H610" s="2" t="str">
        <f>_xlfn.XLOOKUP(C610,customers!$A$1:$A$1001,customers!$G$1:$G$1001,,0,1)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6">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ID]],customers!$A$1:$A$1001,customers!$I$1:$I$1001,"",0,1)</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IF(_xlfn.XLOOKUP(C611,customers!$A$1:$A$1001,customers!$C$1:$C$1001,,0,1)=0,"",(_xlfn.XLOOKUP(C611,customers!$A$1:$A$1001,customers!$C$1:$C$1001,,0,1)))</f>
        <v>afendtgx@forbes.com</v>
      </c>
      <c r="H611" s="2" t="str">
        <f>_xlfn.XLOOKUP(C611,customers!$A$1:$A$1001,customers!$G$1:$G$1001,,0,1)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6">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ID]],customers!$A$1:$A$1001,customers!$I$1:$I$1001,"",0,1)</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IF(_xlfn.XLOOKUP(C612,customers!$A$1:$A$1001,customers!$C$1:$C$1001,,0,1)=0,"",(_xlfn.XLOOKUP(C612,customers!$A$1:$A$1001,customers!$C$1:$C$1001,,0,1)))</f>
        <v>acleyburngy@lycos.com</v>
      </c>
      <c r="H612" s="2" t="str">
        <f>_xlfn.XLOOKUP(C612,customers!$A$1:$A$1001,customers!$G$1:$G$1001,,0,1)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6">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ID]],customers!$A$1:$A$1001,customers!$I$1:$I$1001,"",0,1)</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IF(_xlfn.XLOOKUP(C613,customers!$A$1:$A$1001,customers!$C$1:$C$1001,,0,1)=0,"",(_xlfn.XLOOKUP(C613,customers!$A$1:$A$1001,customers!$C$1:$C$1001,,0,1)))</f>
        <v>tcastiglionegz@xing.com</v>
      </c>
      <c r="H613" s="2" t="str">
        <f>_xlfn.XLOOKUP(C613,customers!$A$1:$A$1001,customers!$G$1:$G$1001,,0,1)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6">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ID]],customers!$A$1:$A$1001,customers!$I$1:$I$1001,"",0,1)</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IF(_xlfn.XLOOKUP(C614,customers!$A$1:$A$1001,customers!$C$1:$C$1001,,0,1)=0,"",(_xlfn.XLOOKUP(C614,customers!$A$1:$A$1001,customers!$C$1:$C$1001,,0,1)))</f>
        <v/>
      </c>
      <c r="H614" s="2" t="str">
        <f>_xlfn.XLOOKUP(C614,customers!$A$1:$A$1001,customers!$G$1:$G$1001,,0,1)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6">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ID]],customers!$A$1:$A$1001,customers!$I$1:$I$1001,"",0,1)</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IF(_xlfn.XLOOKUP(C615,customers!$A$1:$A$1001,customers!$C$1:$C$1001,,0,1)=0,"",(_xlfn.XLOOKUP(C615,customers!$A$1:$A$1001,customers!$C$1:$C$1001,,0,1)))</f>
        <v/>
      </c>
      <c r="H615" s="2" t="str">
        <f>_xlfn.XLOOKUP(C615,customers!$A$1:$A$1001,customers!$G$1:$G$1001,,0,1)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6">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ID]],customers!$A$1:$A$1001,customers!$I$1:$I$1001,"",0,1)</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IF(_xlfn.XLOOKUP(C616,customers!$A$1:$A$1001,customers!$C$1:$C$1001,,0,1)=0,"",(_xlfn.XLOOKUP(C616,customers!$A$1:$A$1001,customers!$C$1:$C$1001,,0,1)))</f>
        <v>cverissimogh@theglobeandmail.com</v>
      </c>
      <c r="H616" s="2" t="str">
        <f>_xlfn.XLOOKUP(C616,customers!$A$1:$A$1001,customers!$G$1:$G$1001,,0,1)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6">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ID]],customers!$A$1:$A$1001,customers!$I$1:$I$1001,"",0,1)</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IF(_xlfn.XLOOKUP(C617,customers!$A$1:$A$1001,customers!$C$1:$C$1001,,0,1)=0,"",(_xlfn.XLOOKUP(C617,customers!$A$1:$A$1001,customers!$C$1:$C$1001,,0,1)))</f>
        <v>scouronneh3@mozilla.org</v>
      </c>
      <c r="H617" s="2" t="str">
        <f>_xlfn.XLOOKUP(C617,customers!$A$1:$A$1001,customers!$G$1:$G$1001,,0,1)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6">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ID]],customers!$A$1:$A$1001,customers!$I$1:$I$1001,"",0,1)</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IF(_xlfn.XLOOKUP(C618,customers!$A$1:$A$1001,customers!$C$1:$C$1001,,0,1)=0,"",(_xlfn.XLOOKUP(C618,customers!$A$1:$A$1001,customers!$C$1:$C$1001,,0,1)))</f>
        <v>lflippellih4@github.io</v>
      </c>
      <c r="H618" s="2" t="str">
        <f>_xlfn.XLOOKUP(C618,customers!$A$1:$A$1001,customers!$G$1:$G$1001,,0,1)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6">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ID]],customers!$A$1:$A$1001,customers!$I$1:$I$1001,"",0,1)</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IF(_xlfn.XLOOKUP(C619,customers!$A$1:$A$1001,customers!$C$1:$C$1001,,0,1)=0,"",(_xlfn.XLOOKUP(C619,customers!$A$1:$A$1001,customers!$C$1:$C$1001,,0,1)))</f>
        <v>relizabethh5@live.com</v>
      </c>
      <c r="H619" s="2" t="str">
        <f>_xlfn.XLOOKUP(C619,customers!$A$1:$A$1001,customers!$G$1:$G$1001,,0,1)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6">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ID]],customers!$A$1:$A$1001,customers!$I$1:$I$1001,"",0,1)</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IF(_xlfn.XLOOKUP(C620,customers!$A$1:$A$1001,customers!$C$1:$C$1001,,0,1)=0,"",(_xlfn.XLOOKUP(C620,customers!$A$1:$A$1001,customers!$C$1:$C$1001,,0,1)))</f>
        <v>irenhardh6@i2i.jp</v>
      </c>
      <c r="H620" s="2" t="str">
        <f>_xlfn.XLOOKUP(C620,customers!$A$1:$A$1001,customers!$G$1:$G$1001,,0,1)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6">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ID]],customers!$A$1:$A$1001,customers!$I$1:$I$1001,"",0,1)</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IF(_xlfn.XLOOKUP(C621,customers!$A$1:$A$1001,customers!$C$1:$C$1001,,0,1)=0,"",(_xlfn.XLOOKUP(C621,customers!$A$1:$A$1001,customers!$C$1:$C$1001,,0,1)))</f>
        <v>wrocheh7@xinhuanet.com</v>
      </c>
      <c r="H621" s="2" t="str">
        <f>_xlfn.XLOOKUP(C621,customers!$A$1:$A$1001,customers!$G$1:$G$1001,,0,1)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6">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ID]],customers!$A$1:$A$1001,customers!$I$1:$I$1001,"",0,1)</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IF(_xlfn.XLOOKUP(C622,customers!$A$1:$A$1001,customers!$C$1:$C$1001,,0,1)=0,"",(_xlfn.XLOOKUP(C622,customers!$A$1:$A$1001,customers!$C$1:$C$1001,,0,1)))</f>
        <v>lalawayhh@weather.com</v>
      </c>
      <c r="H622" s="2" t="str">
        <f>_xlfn.XLOOKUP(C622,customers!$A$1:$A$1001,customers!$G$1:$G$1001,,0,1)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6">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ID]],customers!$A$1:$A$1001,customers!$I$1:$I$1001,"",0,1)</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IF(_xlfn.XLOOKUP(C623,customers!$A$1:$A$1001,customers!$C$1:$C$1001,,0,1)=0,"",(_xlfn.XLOOKUP(C623,customers!$A$1:$A$1001,customers!$C$1:$C$1001,,0,1)))</f>
        <v>codgaardh9@nsw.gov.au</v>
      </c>
      <c r="H623" s="2" t="str">
        <f>_xlfn.XLOOKUP(C623,customers!$A$1:$A$1001,customers!$G$1:$G$1001,,0,1)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6">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ID]],customers!$A$1:$A$1001,customers!$I$1:$I$1001,"",0,1)</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IF(_xlfn.XLOOKUP(C624,customers!$A$1:$A$1001,customers!$C$1:$C$1001,,0,1)=0,"",(_xlfn.XLOOKUP(C624,customers!$A$1:$A$1001,customers!$C$1:$C$1001,,0,1)))</f>
        <v>bbyrdha@4shared.com</v>
      </c>
      <c r="H624" s="2" t="str">
        <f>_xlfn.XLOOKUP(C624,customers!$A$1:$A$1001,customers!$G$1:$G$1001,,0,1)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6">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ID]],customers!$A$1:$A$1001,customers!$I$1:$I$1001,"",0,1)</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IF(_xlfn.XLOOKUP(C625,customers!$A$1:$A$1001,customers!$C$1:$C$1001,,0,1)=0,"",(_xlfn.XLOOKUP(C625,customers!$A$1:$A$1001,customers!$C$1:$C$1001,,0,1)))</f>
        <v/>
      </c>
      <c r="H625" s="2" t="str">
        <f>_xlfn.XLOOKUP(C625,customers!$A$1:$A$1001,customers!$G$1:$G$1001,,0,1)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6">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ID]],customers!$A$1:$A$1001,customers!$I$1:$I$1001,"",0,1)</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IF(_xlfn.XLOOKUP(C626,customers!$A$1:$A$1001,customers!$C$1:$C$1001,,0,1)=0,"",(_xlfn.XLOOKUP(C626,customers!$A$1:$A$1001,customers!$C$1:$C$1001,,0,1)))</f>
        <v>dchardinhc@nhs.uk</v>
      </c>
      <c r="H626" s="2" t="str">
        <f>_xlfn.XLOOKUP(C626,customers!$A$1:$A$1001,customers!$G$1:$G$1001,,0,1)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6">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ID]],customers!$A$1:$A$1001,customers!$I$1:$I$1001,"",0,1)</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IF(_xlfn.XLOOKUP(C627,customers!$A$1:$A$1001,customers!$C$1:$C$1001,,0,1)=0,"",(_xlfn.XLOOKUP(C627,customers!$A$1:$A$1001,customers!$C$1:$C$1001,,0,1)))</f>
        <v>hradbonehd@newsvine.com</v>
      </c>
      <c r="H627" s="2" t="str">
        <f>_xlfn.XLOOKUP(C627,customers!$A$1:$A$1001,customers!$G$1:$G$1001,,0,1)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6">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ID]],customers!$A$1:$A$1001,customers!$I$1:$I$1001,"",0,1)</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IF(_xlfn.XLOOKUP(C628,customers!$A$1:$A$1001,customers!$C$1:$C$1001,,0,1)=0,"",(_xlfn.XLOOKUP(C628,customers!$A$1:$A$1001,customers!$C$1:$C$1001,,0,1)))</f>
        <v>wbernthhe@miitbeian.gov.cn</v>
      </c>
      <c r="H628" s="2" t="str">
        <f>_xlfn.XLOOKUP(C628,customers!$A$1:$A$1001,customers!$G$1:$G$1001,,0,1)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6">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ID]],customers!$A$1:$A$1001,customers!$I$1:$I$1001,"",0,1)</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IF(_xlfn.XLOOKUP(C629,customers!$A$1:$A$1001,customers!$C$1:$C$1001,,0,1)=0,"",(_xlfn.XLOOKUP(C629,customers!$A$1:$A$1001,customers!$C$1:$C$1001,,0,1)))</f>
        <v>bacarsonhf@cnn.com</v>
      </c>
      <c r="H629" s="2" t="str">
        <f>_xlfn.XLOOKUP(C629,customers!$A$1:$A$1001,customers!$G$1:$G$1001,,0,1)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6">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ID]],customers!$A$1:$A$1001,customers!$I$1:$I$1001,"",0,1)</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IF(_xlfn.XLOOKUP(C630,customers!$A$1:$A$1001,customers!$C$1:$C$1001,,0,1)=0,"",(_xlfn.XLOOKUP(C630,customers!$A$1:$A$1001,customers!$C$1:$C$1001,,0,1)))</f>
        <v>fbrighamhg@blog.com</v>
      </c>
      <c r="H630" s="2" t="str">
        <f>_xlfn.XLOOKUP(C630,customers!$A$1:$A$1001,customers!$G$1:$G$1001,,0,1)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6">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ID]],customers!$A$1:$A$1001,customers!$I$1:$I$1001,"",0,1)</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IF(_xlfn.XLOOKUP(C631,customers!$A$1:$A$1001,customers!$C$1:$C$1001,,0,1)=0,"",(_xlfn.XLOOKUP(C631,customers!$A$1:$A$1001,customers!$C$1:$C$1001,,0,1)))</f>
        <v>fbrighamhg@blog.com</v>
      </c>
      <c r="H631" s="2" t="str">
        <f>_xlfn.XLOOKUP(C631,customers!$A$1:$A$1001,customers!$G$1:$G$1001,,0,1)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6">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ID]],customers!$A$1:$A$1001,customers!$I$1:$I$1001,"",0,1)</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IF(_xlfn.XLOOKUP(C632,customers!$A$1:$A$1001,customers!$C$1:$C$1001,,0,1)=0,"",(_xlfn.XLOOKUP(C632,customers!$A$1:$A$1001,customers!$C$1:$C$1001,,0,1)))</f>
        <v>fbrighamhg@blog.com</v>
      </c>
      <c r="H632" s="2" t="str">
        <f>_xlfn.XLOOKUP(C632,customers!$A$1:$A$1001,customers!$G$1:$G$1001,,0,1)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6">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ID]],customers!$A$1:$A$1001,customers!$I$1:$I$1001,"",0,1)</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IF(_xlfn.XLOOKUP(C633,customers!$A$1:$A$1001,customers!$C$1:$C$1001,,0,1)=0,"",(_xlfn.XLOOKUP(C633,customers!$A$1:$A$1001,customers!$C$1:$C$1001,,0,1)))</f>
        <v>fbrighamhg@blog.com</v>
      </c>
      <c r="H633" s="2" t="str">
        <f>_xlfn.XLOOKUP(C633,customers!$A$1:$A$1001,customers!$G$1:$G$1001,,0,1)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6">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ID]],customers!$A$1:$A$1001,customers!$I$1:$I$1001,"",0,1)</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IF(_xlfn.XLOOKUP(C634,customers!$A$1:$A$1001,customers!$C$1:$C$1001,,0,1)=0,"",(_xlfn.XLOOKUP(C634,customers!$A$1:$A$1001,customers!$C$1:$C$1001,,0,1)))</f>
        <v>myoxenhk@google.com</v>
      </c>
      <c r="H634" s="2" t="str">
        <f>_xlfn.XLOOKUP(C634,customers!$A$1:$A$1001,customers!$G$1:$G$1001,,0,1)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6">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ID]],customers!$A$1:$A$1001,customers!$I$1:$I$1001,"",0,1)</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IF(_xlfn.XLOOKUP(C635,customers!$A$1:$A$1001,customers!$C$1:$C$1001,,0,1)=0,"",(_xlfn.XLOOKUP(C635,customers!$A$1:$A$1001,customers!$C$1:$C$1001,,0,1)))</f>
        <v>gmcgavinhl@histats.com</v>
      </c>
      <c r="H635" s="2" t="str">
        <f>_xlfn.XLOOKUP(C635,customers!$A$1:$A$1001,customers!$G$1:$G$1001,,0,1)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6">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ID]],customers!$A$1:$A$1001,customers!$I$1:$I$1001,"",0,1)</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IF(_xlfn.XLOOKUP(C636,customers!$A$1:$A$1001,customers!$C$1:$C$1001,,0,1)=0,"",(_xlfn.XLOOKUP(C636,customers!$A$1:$A$1001,customers!$C$1:$C$1001,,0,1)))</f>
        <v>luttermarehm@engadget.com</v>
      </c>
      <c r="H636" s="2" t="str">
        <f>_xlfn.XLOOKUP(C636,customers!$A$1:$A$1001,customers!$G$1:$G$1001,,0,1)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6">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ID]],customers!$A$1:$A$1001,customers!$I$1:$I$1001,"",0,1)</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IF(_xlfn.XLOOKUP(C637,customers!$A$1:$A$1001,customers!$C$1:$C$1001,,0,1)=0,"",(_xlfn.XLOOKUP(C637,customers!$A$1:$A$1001,customers!$C$1:$C$1001,,0,1)))</f>
        <v>edambrogiohn@techcrunch.com</v>
      </c>
      <c r="H637" s="2" t="str">
        <f>_xlfn.XLOOKUP(C637,customers!$A$1:$A$1001,customers!$G$1:$G$1001,,0,1)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6">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ID]],customers!$A$1:$A$1001,customers!$I$1:$I$1001,"",0,1)</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IF(_xlfn.XLOOKUP(C638,customers!$A$1:$A$1001,customers!$C$1:$C$1001,,0,1)=0,"",(_xlfn.XLOOKUP(C638,customers!$A$1:$A$1001,customers!$C$1:$C$1001,,0,1)))</f>
        <v>cwinchcombeho@jiathis.com</v>
      </c>
      <c r="H638" s="2" t="str">
        <f>_xlfn.XLOOKUP(C638,customers!$A$1:$A$1001,customers!$G$1:$G$1001,,0,1)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6">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ID]],customers!$A$1:$A$1001,customers!$I$1:$I$1001,"",0,1)</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IF(_xlfn.XLOOKUP(C639,customers!$A$1:$A$1001,customers!$C$1:$C$1001,,0,1)=0,"",(_xlfn.XLOOKUP(C639,customers!$A$1:$A$1001,customers!$C$1:$C$1001,,0,1)))</f>
        <v>bpaumierhp@umn.edu</v>
      </c>
      <c r="H639" s="2" t="str">
        <f>_xlfn.XLOOKUP(C639,customers!$A$1:$A$1001,customers!$G$1:$G$1001,,0,1)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6">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ID]],customers!$A$1:$A$1001,customers!$I$1:$I$1001,"",0,1)</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IF(_xlfn.XLOOKUP(C640,customers!$A$1:$A$1001,customers!$C$1:$C$1001,,0,1)=0,"",(_xlfn.XLOOKUP(C640,customers!$A$1:$A$1001,customers!$C$1:$C$1001,,0,1)))</f>
        <v/>
      </c>
      <c r="H640" s="2" t="str">
        <f>_xlfn.XLOOKUP(C640,customers!$A$1:$A$1001,customers!$G$1:$G$1001,,0,1)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6">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ID]],customers!$A$1:$A$1001,customers!$I$1:$I$1001,"",0,1)</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IF(_xlfn.XLOOKUP(C641,customers!$A$1:$A$1001,customers!$C$1:$C$1001,,0,1)=0,"",(_xlfn.XLOOKUP(C641,customers!$A$1:$A$1001,customers!$C$1:$C$1001,,0,1)))</f>
        <v>jcapeyhr@bravesites.com</v>
      </c>
      <c r="H641" s="2" t="str">
        <f>_xlfn.XLOOKUP(C641,customers!$A$1:$A$1001,customers!$G$1:$G$1001,,0,1)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6">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ID]],customers!$A$1:$A$1001,customers!$I$1:$I$1001,"",0,1)</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IF(_xlfn.XLOOKUP(C642,customers!$A$1:$A$1001,customers!$C$1:$C$1001,,0,1)=0,"",(_xlfn.XLOOKUP(C642,customers!$A$1:$A$1001,customers!$C$1:$C$1001,,0,1)))</f>
        <v>tmathonneti0@google.co.jp</v>
      </c>
      <c r="H642" s="2" t="str">
        <f>_xlfn.XLOOKUP(C642,customers!$A$1:$A$1001,customers!$G$1:$G$1001,,0,1)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6">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ID]],customers!$A$1:$A$1001,customers!$I$1:$I$1001,"",0,1)</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IF(_xlfn.XLOOKUP(C643,customers!$A$1:$A$1001,customers!$C$1:$C$1001,,0,1)=0,"",(_xlfn.XLOOKUP(C643,customers!$A$1:$A$1001,customers!$C$1:$C$1001,,0,1)))</f>
        <v>ybasillht@theguardian.com</v>
      </c>
      <c r="H643" s="2" t="str">
        <f>_xlfn.XLOOKUP(C643,customers!$A$1:$A$1001,customers!$G$1:$G$1001,,0,1)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6">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ID]],customers!$A$1:$A$1001,customers!$I$1:$I$1001,"",0,1)</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IF(_xlfn.XLOOKUP(C644,customers!$A$1:$A$1001,customers!$C$1:$C$1001,,0,1)=0,"",(_xlfn.XLOOKUP(C644,customers!$A$1:$A$1001,customers!$C$1:$C$1001,,0,1)))</f>
        <v>mbaistowhu@i2i.jp</v>
      </c>
      <c r="H644" s="2" t="str">
        <f>_xlfn.XLOOKUP(C644,customers!$A$1:$A$1001,customers!$G$1:$G$1001,,0,1)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6">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ID]],customers!$A$1:$A$1001,customers!$I$1:$I$1001,"",0,1)</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IF(_xlfn.XLOOKUP(C645,customers!$A$1:$A$1001,customers!$C$1:$C$1001,,0,1)=0,"",(_xlfn.XLOOKUP(C645,customers!$A$1:$A$1001,customers!$C$1:$C$1001,,0,1)))</f>
        <v>cpallanthv@typepad.com</v>
      </c>
      <c r="H645" s="2" t="str">
        <f>_xlfn.XLOOKUP(C645,customers!$A$1:$A$1001,customers!$G$1:$G$1001,,0,1)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6">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ID]],customers!$A$1:$A$1001,customers!$I$1:$I$1001,"",0,1)</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IF(_xlfn.XLOOKUP(C646,customers!$A$1:$A$1001,customers!$C$1:$C$1001,,0,1)=0,"",(_xlfn.XLOOKUP(C646,customers!$A$1:$A$1001,customers!$C$1:$C$1001,,0,1)))</f>
        <v/>
      </c>
      <c r="H646" s="2" t="str">
        <f>_xlfn.XLOOKUP(C646,customers!$A$1:$A$1001,customers!$G$1:$G$1001,,0,1)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6">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ID]],customers!$A$1:$A$1001,customers!$I$1:$I$1001,"",0,1)</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IF(_xlfn.XLOOKUP(C647,customers!$A$1:$A$1001,customers!$C$1:$C$1001,,0,1)=0,"",(_xlfn.XLOOKUP(C647,customers!$A$1:$A$1001,customers!$C$1:$C$1001,,0,1)))</f>
        <v>dohx@redcross.org</v>
      </c>
      <c r="H647" s="2" t="str">
        <f>_xlfn.XLOOKUP(C647,customers!$A$1:$A$1001,customers!$G$1:$G$1001,,0,1)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6">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ID]],customers!$A$1:$A$1001,customers!$I$1:$I$1001,"",0,1)</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IF(_xlfn.XLOOKUP(C648,customers!$A$1:$A$1001,customers!$C$1:$C$1001,,0,1)=0,"",(_xlfn.XLOOKUP(C648,customers!$A$1:$A$1001,customers!$C$1:$C$1001,,0,1)))</f>
        <v>drallinhy@howstuffworks.com</v>
      </c>
      <c r="H648" s="2" t="str">
        <f>_xlfn.XLOOKUP(C648,customers!$A$1:$A$1001,customers!$G$1:$G$1001,,0,1)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6">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ID]],customers!$A$1:$A$1001,customers!$I$1:$I$1001,"",0,1)</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IF(_xlfn.XLOOKUP(C649,customers!$A$1:$A$1001,customers!$C$1:$C$1001,,0,1)=0,"",(_xlfn.XLOOKUP(C649,customers!$A$1:$A$1001,customers!$C$1:$C$1001,,0,1)))</f>
        <v>achillhz@epa.gov</v>
      </c>
      <c r="H649" s="2" t="str">
        <f>_xlfn.XLOOKUP(C649,customers!$A$1:$A$1001,customers!$G$1:$G$1001,,0,1)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6">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ID]],customers!$A$1:$A$1001,customers!$I$1:$I$1001,"",0,1)</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IF(_xlfn.XLOOKUP(C650,customers!$A$1:$A$1001,customers!$C$1:$C$1001,,0,1)=0,"",(_xlfn.XLOOKUP(C650,customers!$A$1:$A$1001,customers!$C$1:$C$1001,,0,1)))</f>
        <v>tmathonneti0@google.co.jp</v>
      </c>
      <c r="H650" s="2" t="str">
        <f>_xlfn.XLOOKUP(C650,customers!$A$1:$A$1001,customers!$G$1:$G$1001,,0,1)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6">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ID]],customers!$A$1:$A$1001,customers!$I$1:$I$1001,"",0,1)</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IF(_xlfn.XLOOKUP(C651,customers!$A$1:$A$1001,customers!$C$1:$C$1001,,0,1)=0,"",(_xlfn.XLOOKUP(C651,customers!$A$1:$A$1001,customers!$C$1:$C$1001,,0,1)))</f>
        <v>cdenysi1@is.gd</v>
      </c>
      <c r="H651" s="2" t="str">
        <f>_xlfn.XLOOKUP(C651,customers!$A$1:$A$1001,customers!$G$1:$G$1001,,0,1)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6">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ID]],customers!$A$1:$A$1001,customers!$I$1:$I$1001,"",0,1)</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IF(_xlfn.XLOOKUP(C652,customers!$A$1:$A$1001,customers!$C$1:$C$1001,,0,1)=0,"",(_xlfn.XLOOKUP(C652,customers!$A$1:$A$1001,customers!$C$1:$C$1001,,0,1)))</f>
        <v>cstebbingsi2@drupal.org</v>
      </c>
      <c r="H652" s="2" t="str">
        <f>_xlfn.XLOOKUP(C652,customers!$A$1:$A$1001,customers!$G$1:$G$1001,,0,1)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6">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ID]],customers!$A$1:$A$1001,customers!$I$1:$I$1001,"",0,1)</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IF(_xlfn.XLOOKUP(C653,customers!$A$1:$A$1001,customers!$C$1:$C$1001,,0,1)=0,"",(_xlfn.XLOOKUP(C653,customers!$A$1:$A$1001,customers!$C$1:$C$1001,,0,1)))</f>
        <v/>
      </c>
      <c r="H653" s="2" t="str">
        <f>_xlfn.XLOOKUP(C653,customers!$A$1:$A$1001,customers!$G$1:$G$1001,,0,1)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6">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ID]],customers!$A$1:$A$1001,customers!$I$1:$I$1001,"",0,1)</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IF(_xlfn.XLOOKUP(C654,customers!$A$1:$A$1001,customers!$C$1:$C$1001,,0,1)=0,"",(_xlfn.XLOOKUP(C654,customers!$A$1:$A$1001,customers!$C$1:$C$1001,,0,1)))</f>
        <v>rzywickii4@ifeng.com</v>
      </c>
      <c r="H654" s="2" t="str">
        <f>_xlfn.XLOOKUP(C654,customers!$A$1:$A$1001,customers!$G$1:$G$1001,,0,1)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6">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ID]],customers!$A$1:$A$1001,customers!$I$1:$I$1001,"",0,1)</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IF(_xlfn.XLOOKUP(C655,customers!$A$1:$A$1001,customers!$C$1:$C$1001,,0,1)=0,"",(_xlfn.XLOOKUP(C655,customers!$A$1:$A$1001,customers!$C$1:$C$1001,,0,1)))</f>
        <v>aburgetti5@moonfruit.com</v>
      </c>
      <c r="H655" s="2" t="str">
        <f>_xlfn.XLOOKUP(C655,customers!$A$1:$A$1001,customers!$G$1:$G$1001,,0,1)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6">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ID]],customers!$A$1:$A$1001,customers!$I$1:$I$1001,"",0,1)</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IF(_xlfn.XLOOKUP(C656,customers!$A$1:$A$1001,customers!$C$1:$C$1001,,0,1)=0,"",(_xlfn.XLOOKUP(C656,customers!$A$1:$A$1001,customers!$C$1:$C$1001,,0,1)))</f>
        <v>mmalloyi6@seattletimes.com</v>
      </c>
      <c r="H656" s="2" t="str">
        <f>_xlfn.XLOOKUP(C656,customers!$A$1:$A$1001,customers!$G$1:$G$1001,,0,1)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6">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ID]],customers!$A$1:$A$1001,customers!$I$1:$I$1001,"",0,1)</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IF(_xlfn.XLOOKUP(C657,customers!$A$1:$A$1001,customers!$C$1:$C$1001,,0,1)=0,"",(_xlfn.XLOOKUP(C657,customers!$A$1:$A$1001,customers!$C$1:$C$1001,,0,1)))</f>
        <v>mmcparlandi7@w3.org</v>
      </c>
      <c r="H657" s="2" t="str">
        <f>_xlfn.XLOOKUP(C657,customers!$A$1:$A$1001,customers!$G$1:$G$1001,,0,1)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6">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ID]],customers!$A$1:$A$1001,customers!$I$1:$I$1001,"",0,1)</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IF(_xlfn.XLOOKUP(C658,customers!$A$1:$A$1001,customers!$C$1:$C$1001,,0,1)=0,"",(_xlfn.XLOOKUP(C658,customers!$A$1:$A$1001,customers!$C$1:$C$1001,,0,1)))</f>
        <v>sjennaroyi8@purevolume.com</v>
      </c>
      <c r="H658" s="2" t="str">
        <f>_xlfn.XLOOKUP(C658,customers!$A$1:$A$1001,customers!$G$1:$G$1001,,0,1)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6">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ID]],customers!$A$1:$A$1001,customers!$I$1:$I$1001,"",0,1)</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IF(_xlfn.XLOOKUP(C659,customers!$A$1:$A$1001,customers!$C$1:$C$1001,,0,1)=0,"",(_xlfn.XLOOKUP(C659,customers!$A$1:$A$1001,customers!$C$1:$C$1001,,0,1)))</f>
        <v>wplacei9@wsj.com</v>
      </c>
      <c r="H659" s="2" t="str">
        <f>_xlfn.XLOOKUP(C659,customers!$A$1:$A$1001,customers!$G$1:$G$1001,,0,1)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6">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ID]],customers!$A$1:$A$1001,customers!$I$1:$I$1001,"",0,1)</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IF(_xlfn.XLOOKUP(C660,customers!$A$1:$A$1001,customers!$C$1:$C$1001,,0,1)=0,"",(_xlfn.XLOOKUP(C660,customers!$A$1:$A$1001,customers!$C$1:$C$1001,,0,1)))</f>
        <v>jmillettik@addtoany.com</v>
      </c>
      <c r="H660" s="2" t="str">
        <f>_xlfn.XLOOKUP(C660,customers!$A$1:$A$1001,customers!$G$1:$G$1001,,0,1)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6">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ID]],customers!$A$1:$A$1001,customers!$I$1:$I$1001,"",0,1)</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IF(_xlfn.XLOOKUP(C661,customers!$A$1:$A$1001,customers!$C$1:$C$1001,,0,1)=0,"",(_xlfn.XLOOKUP(C661,customers!$A$1:$A$1001,customers!$C$1:$C$1001,,0,1)))</f>
        <v>dgadsdenib@google.com.hk</v>
      </c>
      <c r="H661" s="2" t="str">
        <f>_xlfn.XLOOKUP(C661,customers!$A$1:$A$1001,customers!$G$1:$G$1001,,0,1)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6">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ID]],customers!$A$1:$A$1001,customers!$I$1:$I$1001,"",0,1)</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IF(_xlfn.XLOOKUP(C662,customers!$A$1:$A$1001,customers!$C$1:$C$1001,,0,1)=0,"",(_xlfn.XLOOKUP(C662,customers!$A$1:$A$1001,customers!$C$1:$C$1001,,0,1)))</f>
        <v>vwakelinic@unesco.org</v>
      </c>
      <c r="H662" s="2" t="str">
        <f>_xlfn.XLOOKUP(C662,customers!$A$1:$A$1001,customers!$G$1:$G$1001,,0,1)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6">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ID]],customers!$A$1:$A$1001,customers!$I$1:$I$1001,"",0,1)</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IF(_xlfn.XLOOKUP(C663,customers!$A$1:$A$1001,customers!$C$1:$C$1001,,0,1)=0,"",(_xlfn.XLOOKUP(C663,customers!$A$1:$A$1001,customers!$C$1:$C$1001,,0,1)))</f>
        <v>acampsallid@zimbio.com</v>
      </c>
      <c r="H663" s="2" t="str">
        <f>_xlfn.XLOOKUP(C663,customers!$A$1:$A$1001,customers!$G$1:$G$1001,,0,1)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6">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ID]],customers!$A$1:$A$1001,customers!$I$1:$I$1001,"",0,1)</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IF(_xlfn.XLOOKUP(C664,customers!$A$1:$A$1001,customers!$C$1:$C$1001,,0,1)=0,"",(_xlfn.XLOOKUP(C664,customers!$A$1:$A$1001,customers!$C$1:$C$1001,,0,1)))</f>
        <v>smosebyie@stanford.edu</v>
      </c>
      <c r="H664" s="2" t="str">
        <f>_xlfn.XLOOKUP(C664,customers!$A$1:$A$1001,customers!$G$1:$G$1001,,0,1)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6">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ID]],customers!$A$1:$A$1001,customers!$I$1:$I$1001,"",0,1)</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IF(_xlfn.XLOOKUP(C665,customers!$A$1:$A$1001,customers!$C$1:$C$1001,,0,1)=0,"",(_xlfn.XLOOKUP(C665,customers!$A$1:$A$1001,customers!$C$1:$C$1001,,0,1)))</f>
        <v>cwassif@prweb.com</v>
      </c>
      <c r="H665" s="2" t="str">
        <f>_xlfn.XLOOKUP(C665,customers!$A$1:$A$1001,customers!$G$1:$G$1001,,0,1)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6">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ID]],customers!$A$1:$A$1001,customers!$I$1:$I$1001,"",0,1)</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IF(_xlfn.XLOOKUP(C666,customers!$A$1:$A$1001,customers!$C$1:$C$1001,,0,1)=0,"",(_xlfn.XLOOKUP(C666,customers!$A$1:$A$1001,customers!$C$1:$C$1001,,0,1)))</f>
        <v>isjostromig@pbs.org</v>
      </c>
      <c r="H666" s="2" t="str">
        <f>_xlfn.XLOOKUP(C666,customers!$A$1:$A$1001,customers!$G$1:$G$1001,,0,1)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6">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ID]],customers!$A$1:$A$1001,customers!$I$1:$I$1001,"",0,1)</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IF(_xlfn.XLOOKUP(C667,customers!$A$1:$A$1001,customers!$C$1:$C$1001,,0,1)=0,"",(_xlfn.XLOOKUP(C667,customers!$A$1:$A$1001,customers!$C$1:$C$1001,,0,1)))</f>
        <v>isjostromig@pbs.org</v>
      </c>
      <c r="H667" s="2" t="str">
        <f>_xlfn.XLOOKUP(C667,customers!$A$1:$A$1001,customers!$G$1:$G$1001,,0,1)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6">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ID]],customers!$A$1:$A$1001,customers!$I$1:$I$1001,"",0,1)</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IF(_xlfn.XLOOKUP(C668,customers!$A$1:$A$1001,customers!$C$1:$C$1001,,0,1)=0,"",(_xlfn.XLOOKUP(C668,customers!$A$1:$A$1001,customers!$C$1:$C$1001,,0,1)))</f>
        <v>jbranchettii@bravesites.com</v>
      </c>
      <c r="H668" s="2" t="str">
        <f>_xlfn.XLOOKUP(C668,customers!$A$1:$A$1001,customers!$G$1:$G$1001,,0,1)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6">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ID]],customers!$A$1:$A$1001,customers!$I$1:$I$1001,"",0,1)</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IF(_xlfn.XLOOKUP(C669,customers!$A$1:$A$1001,customers!$C$1:$C$1001,,0,1)=0,"",(_xlfn.XLOOKUP(C669,customers!$A$1:$A$1001,customers!$C$1:$C$1001,,0,1)))</f>
        <v>nrudlandij@blogs.com</v>
      </c>
      <c r="H669" s="2" t="str">
        <f>_xlfn.XLOOKUP(C669,customers!$A$1:$A$1001,customers!$G$1:$G$1001,,0,1)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6">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ID]],customers!$A$1:$A$1001,customers!$I$1:$I$1001,"",0,1)</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IF(_xlfn.XLOOKUP(C670,customers!$A$1:$A$1001,customers!$C$1:$C$1001,,0,1)=0,"",(_xlfn.XLOOKUP(C670,customers!$A$1:$A$1001,customers!$C$1:$C$1001,,0,1)))</f>
        <v>jmillettik@addtoany.com</v>
      </c>
      <c r="H670" s="2" t="str">
        <f>_xlfn.XLOOKUP(C670,customers!$A$1:$A$1001,customers!$G$1:$G$1001,,0,1)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6">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ID]],customers!$A$1:$A$1001,customers!$I$1:$I$1001,"",0,1)</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IF(_xlfn.XLOOKUP(C671,customers!$A$1:$A$1001,customers!$C$1:$C$1001,,0,1)=0,"",(_xlfn.XLOOKUP(C671,customers!$A$1:$A$1001,customers!$C$1:$C$1001,,0,1)))</f>
        <v>ftourryil@google.de</v>
      </c>
      <c r="H671" s="2" t="str">
        <f>_xlfn.XLOOKUP(C671,customers!$A$1:$A$1001,customers!$G$1:$G$1001,,0,1)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6">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ID]],customers!$A$1:$A$1001,customers!$I$1:$I$1001,"",0,1)</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IF(_xlfn.XLOOKUP(C672,customers!$A$1:$A$1001,customers!$C$1:$C$1001,,0,1)=0,"",(_xlfn.XLOOKUP(C672,customers!$A$1:$A$1001,customers!$C$1:$C$1001,,0,1)))</f>
        <v>cweatherallim@toplist.cz</v>
      </c>
      <c r="H672" s="2" t="str">
        <f>_xlfn.XLOOKUP(C672,customers!$A$1:$A$1001,customers!$G$1:$G$1001,,0,1)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6">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ID]],customers!$A$1:$A$1001,customers!$I$1:$I$1001,"",0,1)</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IF(_xlfn.XLOOKUP(C673,customers!$A$1:$A$1001,customers!$C$1:$C$1001,,0,1)=0,"",(_xlfn.XLOOKUP(C673,customers!$A$1:$A$1001,customers!$C$1:$C$1001,,0,1)))</f>
        <v>gheindrickin@usda.gov</v>
      </c>
      <c r="H673" s="2" t="str">
        <f>_xlfn.XLOOKUP(C673,customers!$A$1:$A$1001,customers!$G$1:$G$1001,,0,1)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6">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ID]],customers!$A$1:$A$1001,customers!$I$1:$I$1001,"",0,1)</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IF(_xlfn.XLOOKUP(C674,customers!$A$1:$A$1001,customers!$C$1:$C$1001,,0,1)=0,"",(_xlfn.XLOOKUP(C674,customers!$A$1:$A$1001,customers!$C$1:$C$1001,,0,1)))</f>
        <v>limasonio@discuz.net</v>
      </c>
      <c r="H674" s="2" t="str">
        <f>_xlfn.XLOOKUP(C674,customers!$A$1:$A$1001,customers!$G$1:$G$1001,,0,1)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6">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ID]],customers!$A$1:$A$1001,customers!$I$1:$I$1001,"",0,1)</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IF(_xlfn.XLOOKUP(C675,customers!$A$1:$A$1001,customers!$C$1:$C$1001,,0,1)=0,"",(_xlfn.XLOOKUP(C675,customers!$A$1:$A$1001,customers!$C$1:$C$1001,,0,1)))</f>
        <v>hsaillip@odnoklassniki.ru</v>
      </c>
      <c r="H675" s="2" t="str">
        <f>_xlfn.XLOOKUP(C675,customers!$A$1:$A$1001,customers!$G$1:$G$1001,,0,1)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6">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ID]],customers!$A$1:$A$1001,customers!$I$1:$I$1001,"",0,1)</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IF(_xlfn.XLOOKUP(C676,customers!$A$1:$A$1001,customers!$C$1:$C$1001,,0,1)=0,"",(_xlfn.XLOOKUP(C676,customers!$A$1:$A$1001,customers!$C$1:$C$1001,,0,1)))</f>
        <v>hlarvoriq@last.fm</v>
      </c>
      <c r="H676" s="2" t="str">
        <f>_xlfn.XLOOKUP(C676,customers!$A$1:$A$1001,customers!$G$1:$G$1001,,0,1)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6">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ID]],customers!$A$1:$A$1001,customers!$I$1:$I$1001,"",0,1)</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IF(_xlfn.XLOOKUP(C677,customers!$A$1:$A$1001,customers!$C$1:$C$1001,,0,1)=0,"",(_xlfn.XLOOKUP(C677,customers!$A$1:$A$1001,customers!$C$1:$C$1001,,0,1)))</f>
        <v/>
      </c>
      <c r="H677" s="2" t="str">
        <f>_xlfn.XLOOKUP(C677,customers!$A$1:$A$1001,customers!$G$1:$G$1001,,0,1)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6">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ID]],customers!$A$1:$A$1001,customers!$I$1:$I$1001,"",0,1)</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IF(_xlfn.XLOOKUP(C678,customers!$A$1:$A$1001,customers!$C$1:$C$1001,,0,1)=0,"",(_xlfn.XLOOKUP(C678,customers!$A$1:$A$1001,customers!$C$1:$C$1001,,0,1)))</f>
        <v/>
      </c>
      <c r="H678" s="2" t="str">
        <f>_xlfn.XLOOKUP(C678,customers!$A$1:$A$1001,customers!$G$1:$G$1001,,0,1)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6">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ID]],customers!$A$1:$A$1001,customers!$I$1:$I$1001,"",0,1)</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IF(_xlfn.XLOOKUP(C679,customers!$A$1:$A$1001,customers!$C$1:$C$1001,,0,1)=0,"",(_xlfn.XLOOKUP(C679,customers!$A$1:$A$1001,customers!$C$1:$C$1001,,0,1)))</f>
        <v>cpenwardenit@mlb.com</v>
      </c>
      <c r="H679" s="2" t="str">
        <f>_xlfn.XLOOKUP(C679,customers!$A$1:$A$1001,customers!$G$1:$G$1001,,0,1)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6">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ID]],customers!$A$1:$A$1001,customers!$I$1:$I$1001,"",0,1)</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IF(_xlfn.XLOOKUP(C680,customers!$A$1:$A$1001,customers!$C$1:$C$1001,,0,1)=0,"",(_xlfn.XLOOKUP(C680,customers!$A$1:$A$1001,customers!$C$1:$C$1001,,0,1)))</f>
        <v>mmiddisiu@dmoz.org</v>
      </c>
      <c r="H680" s="2" t="str">
        <f>_xlfn.XLOOKUP(C680,customers!$A$1:$A$1001,customers!$G$1:$G$1001,,0,1)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6">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ID]],customers!$A$1:$A$1001,customers!$I$1:$I$1001,"",0,1)</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IF(_xlfn.XLOOKUP(C681,customers!$A$1:$A$1001,customers!$C$1:$C$1001,,0,1)=0,"",(_xlfn.XLOOKUP(C681,customers!$A$1:$A$1001,customers!$C$1:$C$1001,,0,1)))</f>
        <v>avairowiv@studiopress.com</v>
      </c>
      <c r="H681" s="2" t="str">
        <f>_xlfn.XLOOKUP(C681,customers!$A$1:$A$1001,customers!$G$1:$G$1001,,0,1)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6">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ID]],customers!$A$1:$A$1001,customers!$I$1:$I$1001,"",0,1)</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IF(_xlfn.XLOOKUP(C682,customers!$A$1:$A$1001,customers!$C$1:$C$1001,,0,1)=0,"",(_xlfn.XLOOKUP(C682,customers!$A$1:$A$1001,customers!$C$1:$C$1001,,0,1)))</f>
        <v>agoldieiw@goo.gl</v>
      </c>
      <c r="H682" s="2" t="str">
        <f>_xlfn.XLOOKUP(C682,customers!$A$1:$A$1001,customers!$G$1:$G$1001,,0,1)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6">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ID]],customers!$A$1:$A$1001,customers!$I$1:$I$1001,"",0,1)</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IF(_xlfn.XLOOKUP(C683,customers!$A$1:$A$1001,customers!$C$1:$C$1001,,0,1)=0,"",(_xlfn.XLOOKUP(C683,customers!$A$1:$A$1001,customers!$C$1:$C$1001,,0,1)))</f>
        <v>nayrisix@t-online.de</v>
      </c>
      <c r="H683" s="2" t="str">
        <f>_xlfn.XLOOKUP(C683,customers!$A$1:$A$1001,customers!$G$1:$G$1001,,0,1)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6">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ID]],customers!$A$1:$A$1001,customers!$I$1:$I$1001,"",0,1)</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IF(_xlfn.XLOOKUP(C684,customers!$A$1:$A$1001,customers!$C$1:$C$1001,,0,1)=0,"",(_xlfn.XLOOKUP(C684,customers!$A$1:$A$1001,customers!$C$1:$C$1001,,0,1)))</f>
        <v>lbenediktovichiy@wunderground.com</v>
      </c>
      <c r="H684" s="2" t="str">
        <f>_xlfn.XLOOKUP(C684,customers!$A$1:$A$1001,customers!$G$1:$G$1001,,0,1)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6">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ID]],customers!$A$1:$A$1001,customers!$I$1:$I$1001,"",0,1)</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IF(_xlfn.XLOOKUP(C685,customers!$A$1:$A$1001,customers!$C$1:$C$1001,,0,1)=0,"",(_xlfn.XLOOKUP(C685,customers!$A$1:$A$1001,customers!$C$1:$C$1001,,0,1)))</f>
        <v>tjacobovitziz@cbc.ca</v>
      </c>
      <c r="H685" s="2" t="str">
        <f>_xlfn.XLOOKUP(C685,customers!$A$1:$A$1001,customers!$G$1:$G$1001,,0,1)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6">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ID]],customers!$A$1:$A$1001,customers!$I$1:$I$1001,"",0,1)</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IF(_xlfn.XLOOKUP(C686,customers!$A$1:$A$1001,customers!$C$1:$C$1001,,0,1)=0,"",(_xlfn.XLOOKUP(C686,customers!$A$1:$A$1001,customers!$C$1:$C$1001,,0,1)))</f>
        <v/>
      </c>
      <c r="H686" s="2" t="str">
        <f>_xlfn.XLOOKUP(C686,customers!$A$1:$A$1001,customers!$G$1:$G$1001,,0,1)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6">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ID]],customers!$A$1:$A$1001,customers!$I$1:$I$1001,"",0,1)</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IF(_xlfn.XLOOKUP(C687,customers!$A$1:$A$1001,customers!$C$1:$C$1001,,0,1)=0,"",(_xlfn.XLOOKUP(C687,customers!$A$1:$A$1001,customers!$C$1:$C$1001,,0,1)))</f>
        <v>jdruittj1@feedburner.com</v>
      </c>
      <c r="H687" s="2" t="str">
        <f>_xlfn.XLOOKUP(C687,customers!$A$1:$A$1001,customers!$G$1:$G$1001,,0,1)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6">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ID]],customers!$A$1:$A$1001,customers!$I$1:$I$1001,"",0,1)</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IF(_xlfn.XLOOKUP(C688,customers!$A$1:$A$1001,customers!$C$1:$C$1001,,0,1)=0,"",(_xlfn.XLOOKUP(C688,customers!$A$1:$A$1001,customers!$C$1:$C$1001,,0,1)))</f>
        <v>dshortallj2@wikipedia.org</v>
      </c>
      <c r="H688" s="2" t="str">
        <f>_xlfn.XLOOKUP(C688,customers!$A$1:$A$1001,customers!$G$1:$G$1001,,0,1)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6">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ID]],customers!$A$1:$A$1001,customers!$I$1:$I$1001,"",0,1)</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IF(_xlfn.XLOOKUP(C689,customers!$A$1:$A$1001,customers!$C$1:$C$1001,,0,1)=0,"",(_xlfn.XLOOKUP(C689,customers!$A$1:$A$1001,customers!$C$1:$C$1001,,0,1)))</f>
        <v>wcottierj3@cafepress.com</v>
      </c>
      <c r="H689" s="2" t="str">
        <f>_xlfn.XLOOKUP(C689,customers!$A$1:$A$1001,customers!$G$1:$G$1001,,0,1)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6">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ID]],customers!$A$1:$A$1001,customers!$I$1:$I$1001,"",0,1)</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IF(_xlfn.XLOOKUP(C690,customers!$A$1:$A$1001,customers!$C$1:$C$1001,,0,1)=0,"",(_xlfn.XLOOKUP(C690,customers!$A$1:$A$1001,customers!$C$1:$C$1001,,0,1)))</f>
        <v>kgrinstedj4@google.com.br</v>
      </c>
      <c r="H690" s="2" t="str">
        <f>_xlfn.XLOOKUP(C690,customers!$A$1:$A$1001,customers!$G$1:$G$1001,,0,1)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6">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ID]],customers!$A$1:$A$1001,customers!$I$1:$I$1001,"",0,1)</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IF(_xlfn.XLOOKUP(C691,customers!$A$1:$A$1001,customers!$C$1:$C$1001,,0,1)=0,"",(_xlfn.XLOOKUP(C691,customers!$A$1:$A$1001,customers!$C$1:$C$1001,,0,1)))</f>
        <v>dskynerj5@hubpages.com</v>
      </c>
      <c r="H691" s="2" t="str">
        <f>_xlfn.XLOOKUP(C691,customers!$A$1:$A$1001,customers!$G$1:$G$1001,,0,1)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6">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ID]],customers!$A$1:$A$1001,customers!$I$1:$I$1001,"",0,1)</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IF(_xlfn.XLOOKUP(C692,customers!$A$1:$A$1001,customers!$C$1:$C$1001,,0,1)=0,"",(_xlfn.XLOOKUP(C692,customers!$A$1:$A$1001,customers!$C$1:$C$1001,,0,1)))</f>
        <v/>
      </c>
      <c r="H692" s="2" t="str">
        <f>_xlfn.XLOOKUP(C692,customers!$A$1:$A$1001,customers!$G$1:$G$1001,,0,1)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6">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ID]],customers!$A$1:$A$1001,customers!$I$1:$I$1001,"",0,1)</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IF(_xlfn.XLOOKUP(C693,customers!$A$1:$A$1001,customers!$C$1:$C$1001,,0,1)=0,"",(_xlfn.XLOOKUP(C693,customers!$A$1:$A$1001,customers!$C$1:$C$1001,,0,1)))</f>
        <v>jdymokeje@prnewswire.com</v>
      </c>
      <c r="H693" s="2" t="str">
        <f>_xlfn.XLOOKUP(C693,customers!$A$1:$A$1001,customers!$G$1:$G$1001,,0,1)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6">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ID]],customers!$A$1:$A$1001,customers!$I$1:$I$1001,"",0,1)</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IF(_xlfn.XLOOKUP(C694,customers!$A$1:$A$1001,customers!$C$1:$C$1001,,0,1)=0,"",(_xlfn.XLOOKUP(C694,customers!$A$1:$A$1001,customers!$C$1:$C$1001,,0,1)))</f>
        <v>aweinmannj8@shinystat.com</v>
      </c>
      <c r="H694" s="2" t="str">
        <f>_xlfn.XLOOKUP(C694,customers!$A$1:$A$1001,customers!$G$1:$G$1001,,0,1)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6">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ID]],customers!$A$1:$A$1001,customers!$I$1:$I$1001,"",0,1)</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IF(_xlfn.XLOOKUP(C695,customers!$A$1:$A$1001,customers!$C$1:$C$1001,,0,1)=0,"",(_xlfn.XLOOKUP(C695,customers!$A$1:$A$1001,customers!$C$1:$C$1001,,0,1)))</f>
        <v>eandriessenj9@europa.eu</v>
      </c>
      <c r="H695" s="2" t="str">
        <f>_xlfn.XLOOKUP(C695,customers!$A$1:$A$1001,customers!$G$1:$G$1001,,0,1)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6">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ID]],customers!$A$1:$A$1001,customers!$I$1:$I$1001,"",0,1)</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IF(_xlfn.XLOOKUP(C696,customers!$A$1:$A$1001,customers!$C$1:$C$1001,,0,1)=0,"",(_xlfn.XLOOKUP(C696,customers!$A$1:$A$1001,customers!$C$1:$C$1001,,0,1)))</f>
        <v>rdeaconsonja@archive.org</v>
      </c>
      <c r="H696" s="2" t="str">
        <f>_xlfn.XLOOKUP(C696,customers!$A$1:$A$1001,customers!$G$1:$G$1001,,0,1)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6">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ID]],customers!$A$1:$A$1001,customers!$I$1:$I$1001,"",0,1)</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IF(_xlfn.XLOOKUP(C697,customers!$A$1:$A$1001,customers!$C$1:$C$1001,,0,1)=0,"",(_xlfn.XLOOKUP(C697,customers!$A$1:$A$1001,customers!$C$1:$C$1001,,0,1)))</f>
        <v>dcarojb@twitter.com</v>
      </c>
      <c r="H697" s="2" t="str">
        <f>_xlfn.XLOOKUP(C697,customers!$A$1:$A$1001,customers!$G$1:$G$1001,,0,1)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6">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ID]],customers!$A$1:$A$1001,customers!$I$1:$I$1001,"",0,1)</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IF(_xlfn.XLOOKUP(C698,customers!$A$1:$A$1001,customers!$C$1:$C$1001,,0,1)=0,"",(_xlfn.XLOOKUP(C698,customers!$A$1:$A$1001,customers!$C$1:$C$1001,,0,1)))</f>
        <v>jbluckjc@imageshack.us</v>
      </c>
      <c r="H698" s="2" t="str">
        <f>_xlfn.XLOOKUP(C698,customers!$A$1:$A$1001,customers!$G$1:$G$1001,,0,1)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6">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ID]],customers!$A$1:$A$1001,customers!$I$1:$I$1001,"",0,1)</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IF(_xlfn.XLOOKUP(C699,customers!$A$1:$A$1001,customers!$C$1:$C$1001,,0,1)=0,"",(_xlfn.XLOOKUP(C699,customers!$A$1:$A$1001,customers!$C$1:$C$1001,,0,1)))</f>
        <v/>
      </c>
      <c r="H699" s="2" t="str">
        <f>_xlfn.XLOOKUP(C699,customers!$A$1:$A$1001,customers!$G$1:$G$1001,,0,1)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6">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ID]],customers!$A$1:$A$1001,customers!$I$1:$I$1001,"",0,1)</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IF(_xlfn.XLOOKUP(C700,customers!$A$1:$A$1001,customers!$C$1:$C$1001,,0,1)=0,"",(_xlfn.XLOOKUP(C700,customers!$A$1:$A$1001,customers!$C$1:$C$1001,,0,1)))</f>
        <v>jdymokeje@prnewswire.com</v>
      </c>
      <c r="H700" s="2" t="str">
        <f>_xlfn.XLOOKUP(C700,customers!$A$1:$A$1001,customers!$G$1:$G$1001,,0,1)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6">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ID]],customers!$A$1:$A$1001,customers!$I$1:$I$1001,"",0,1)</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IF(_xlfn.XLOOKUP(C701,customers!$A$1:$A$1001,customers!$C$1:$C$1001,,0,1)=0,"",(_xlfn.XLOOKUP(C701,customers!$A$1:$A$1001,customers!$C$1:$C$1001,,0,1)))</f>
        <v>otadmanjf@ft.com</v>
      </c>
      <c r="H701" s="2" t="str">
        <f>_xlfn.XLOOKUP(C701,customers!$A$1:$A$1001,customers!$G$1:$G$1001,,0,1)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6">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ID]],customers!$A$1:$A$1001,customers!$I$1:$I$1001,"",0,1)</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IF(_xlfn.XLOOKUP(C702,customers!$A$1:$A$1001,customers!$C$1:$C$1001,,0,1)=0,"",(_xlfn.XLOOKUP(C702,customers!$A$1:$A$1001,customers!$C$1:$C$1001,,0,1)))</f>
        <v>bguddejg@dailymotion.com</v>
      </c>
      <c r="H702" s="2" t="str">
        <f>_xlfn.XLOOKUP(C702,customers!$A$1:$A$1001,customers!$G$1:$G$1001,,0,1)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6">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ID]],customers!$A$1:$A$1001,customers!$I$1:$I$1001,"",0,1)</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IF(_xlfn.XLOOKUP(C703,customers!$A$1:$A$1001,customers!$C$1:$C$1001,,0,1)=0,"",(_xlfn.XLOOKUP(C703,customers!$A$1:$A$1001,customers!$C$1:$C$1001,,0,1)))</f>
        <v>nsictornesjh@buzzfeed.com</v>
      </c>
      <c r="H703" s="2" t="str">
        <f>_xlfn.XLOOKUP(C703,customers!$A$1:$A$1001,customers!$G$1:$G$1001,,0,1)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6">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ID]],customers!$A$1:$A$1001,customers!$I$1:$I$1001,"",0,1)</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IF(_xlfn.XLOOKUP(C704,customers!$A$1:$A$1001,customers!$C$1:$C$1001,,0,1)=0,"",(_xlfn.XLOOKUP(C704,customers!$A$1:$A$1001,customers!$C$1:$C$1001,,0,1)))</f>
        <v>vdunningji@independent.co.uk</v>
      </c>
      <c r="H704" s="2" t="str">
        <f>_xlfn.XLOOKUP(C704,customers!$A$1:$A$1001,customers!$G$1:$G$1001,,0,1)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6">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ID]],customers!$A$1:$A$1001,customers!$I$1:$I$1001,"",0,1)</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IF(_xlfn.XLOOKUP(C705,customers!$A$1:$A$1001,customers!$C$1:$C$1001,,0,1)=0,"",(_xlfn.XLOOKUP(C705,customers!$A$1:$A$1001,customers!$C$1:$C$1001,,0,1)))</f>
        <v/>
      </c>
      <c r="H705" s="2" t="str">
        <f>_xlfn.XLOOKUP(C705,customers!$A$1:$A$1001,customers!$G$1:$G$1001,,0,1)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6">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ID]],customers!$A$1:$A$1001,customers!$I$1:$I$1001,"",0,1)</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IF(_xlfn.XLOOKUP(C706,customers!$A$1:$A$1001,customers!$C$1:$C$1001,,0,1)=0,"",(_xlfn.XLOOKUP(C706,customers!$A$1:$A$1001,customers!$C$1:$C$1001,,0,1)))</f>
        <v/>
      </c>
      <c r="H706" s="2" t="str">
        <f>_xlfn.XLOOKUP(C706,customers!$A$1:$A$1001,customers!$G$1:$G$1001,,0,1)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6">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ID]],customers!$A$1:$A$1001,customers!$I$1:$I$1001,"",0,1)</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IF(_xlfn.XLOOKUP(C707,customers!$A$1:$A$1001,customers!$C$1:$C$1001,,0,1)=0,"",(_xlfn.XLOOKUP(C707,customers!$A$1:$A$1001,customers!$C$1:$C$1001,,0,1)))</f>
        <v>sgehringjl@gnu.org</v>
      </c>
      <c r="H707" s="2" t="str">
        <f>_xlfn.XLOOKUP(C707,customers!$A$1:$A$1001,customers!$G$1:$G$1001,,0,1)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6">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ID]],customers!$A$1:$A$1001,customers!$I$1:$I$1001,"",0,1)</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IF(_xlfn.XLOOKUP(C708,customers!$A$1:$A$1001,customers!$C$1:$C$1001,,0,1)=0,"",(_xlfn.XLOOKUP(C708,customers!$A$1:$A$1001,customers!$C$1:$C$1001,,0,1)))</f>
        <v>bfallowesjm@purevolume.com</v>
      </c>
      <c r="H708" s="2" t="str">
        <f>_xlfn.XLOOKUP(C708,customers!$A$1:$A$1001,customers!$G$1:$G$1001,,0,1)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6">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ID]],customers!$A$1:$A$1001,customers!$I$1:$I$1001,"",0,1)</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IF(_xlfn.XLOOKUP(C709,customers!$A$1:$A$1001,customers!$C$1:$C$1001,,0,1)=0,"",(_xlfn.XLOOKUP(C709,customers!$A$1:$A$1001,customers!$C$1:$C$1001,,0,1)))</f>
        <v/>
      </c>
      <c r="H709" s="2" t="str">
        <f>_xlfn.XLOOKUP(C709,customers!$A$1:$A$1001,customers!$G$1:$G$1001,,0,1)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6">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ID]],customers!$A$1:$A$1001,customers!$I$1:$I$1001,"",0,1)</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IF(_xlfn.XLOOKUP(C710,customers!$A$1:$A$1001,customers!$C$1:$C$1001,,0,1)=0,"",(_xlfn.XLOOKUP(C710,customers!$A$1:$A$1001,customers!$C$1:$C$1001,,0,1)))</f>
        <v>sdejo@newsvine.com</v>
      </c>
      <c r="H710" s="2" t="str">
        <f>_xlfn.XLOOKUP(C710,customers!$A$1:$A$1001,customers!$G$1:$G$1001,,0,1)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6">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ID]],customers!$A$1:$A$1001,customers!$I$1:$I$1001,"",0,1)</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IF(_xlfn.XLOOKUP(C711,customers!$A$1:$A$1001,customers!$C$1:$C$1001,,0,1)=0,"",(_xlfn.XLOOKUP(C711,customers!$A$1:$A$1001,customers!$C$1:$C$1001,,0,1)))</f>
        <v/>
      </c>
      <c r="H711" s="2" t="str">
        <f>_xlfn.XLOOKUP(C711,customers!$A$1:$A$1001,customers!$G$1:$G$1001,,0,1)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6">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ID]],customers!$A$1:$A$1001,customers!$I$1:$I$1001,"",0,1)</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IF(_xlfn.XLOOKUP(C712,customers!$A$1:$A$1001,customers!$C$1:$C$1001,,0,1)=0,"",(_xlfn.XLOOKUP(C712,customers!$A$1:$A$1001,customers!$C$1:$C$1001,,0,1)))</f>
        <v>scountjq@nba.com</v>
      </c>
      <c r="H712" s="2" t="str">
        <f>_xlfn.XLOOKUP(C712,customers!$A$1:$A$1001,customers!$G$1:$G$1001,,0,1)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6">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ID]],customers!$A$1:$A$1001,customers!$I$1:$I$1001,"",0,1)</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IF(_xlfn.XLOOKUP(C713,customers!$A$1:$A$1001,customers!$C$1:$C$1001,,0,1)=0,"",(_xlfn.XLOOKUP(C713,customers!$A$1:$A$1001,customers!$C$1:$C$1001,,0,1)))</f>
        <v>sraglesjr@blogtalkradio.com</v>
      </c>
      <c r="H713" s="2" t="str">
        <f>_xlfn.XLOOKUP(C713,customers!$A$1:$A$1001,customers!$G$1:$G$1001,,0,1)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6">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ID]],customers!$A$1:$A$1001,customers!$I$1:$I$1001,"",0,1)</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IF(_xlfn.XLOOKUP(C714,customers!$A$1:$A$1001,customers!$C$1:$C$1001,,0,1)=0,"",(_xlfn.XLOOKUP(C714,customers!$A$1:$A$1001,customers!$C$1:$C$1001,,0,1)))</f>
        <v/>
      </c>
      <c r="H714" s="2" t="str">
        <f>_xlfn.XLOOKUP(C714,customers!$A$1:$A$1001,customers!$G$1:$G$1001,,0,1)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6">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ID]],customers!$A$1:$A$1001,customers!$I$1:$I$1001,"",0,1)</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IF(_xlfn.XLOOKUP(C715,customers!$A$1:$A$1001,customers!$C$1:$C$1001,,0,1)=0,"",(_xlfn.XLOOKUP(C715,customers!$A$1:$A$1001,customers!$C$1:$C$1001,,0,1)))</f>
        <v>sbruunjt@blogtalkradio.com</v>
      </c>
      <c r="H715" s="2" t="str">
        <f>_xlfn.XLOOKUP(C715,customers!$A$1:$A$1001,customers!$G$1:$G$1001,,0,1)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6">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ID]],customers!$A$1:$A$1001,customers!$I$1:$I$1001,"",0,1)</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IF(_xlfn.XLOOKUP(C716,customers!$A$1:$A$1001,customers!$C$1:$C$1001,,0,1)=0,"",(_xlfn.XLOOKUP(C716,customers!$A$1:$A$1001,customers!$C$1:$C$1001,,0,1)))</f>
        <v>aplluju@dagondesign.com</v>
      </c>
      <c r="H716" s="2" t="str">
        <f>_xlfn.XLOOKUP(C716,customers!$A$1:$A$1001,customers!$G$1:$G$1001,,0,1)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6">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ID]],customers!$A$1:$A$1001,customers!$I$1:$I$1001,"",0,1)</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IF(_xlfn.XLOOKUP(C717,customers!$A$1:$A$1001,customers!$C$1:$C$1001,,0,1)=0,"",(_xlfn.XLOOKUP(C717,customers!$A$1:$A$1001,customers!$C$1:$C$1001,,0,1)))</f>
        <v>gcornierjv@techcrunch.com</v>
      </c>
      <c r="H717" s="2" t="str">
        <f>_xlfn.XLOOKUP(C717,customers!$A$1:$A$1001,customers!$G$1:$G$1001,,0,1)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6">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ID]],customers!$A$1:$A$1001,customers!$I$1:$I$1001,"",0,1)</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IF(_xlfn.XLOOKUP(C718,customers!$A$1:$A$1001,customers!$C$1:$C$1001,,0,1)=0,"",(_xlfn.XLOOKUP(C718,customers!$A$1:$A$1001,customers!$C$1:$C$1001,,0,1)))</f>
        <v>jdymokeje@prnewswire.com</v>
      </c>
      <c r="H718" s="2" t="str">
        <f>_xlfn.XLOOKUP(C718,customers!$A$1:$A$1001,customers!$G$1:$G$1001,,0,1)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6">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ID]],customers!$A$1:$A$1001,customers!$I$1:$I$1001,"",0,1)</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IF(_xlfn.XLOOKUP(C719,customers!$A$1:$A$1001,customers!$C$1:$C$1001,,0,1)=0,"",(_xlfn.XLOOKUP(C719,customers!$A$1:$A$1001,customers!$C$1:$C$1001,,0,1)))</f>
        <v>wharvisonjx@gizmodo.com</v>
      </c>
      <c r="H719" s="2" t="str">
        <f>_xlfn.XLOOKUP(C719,customers!$A$1:$A$1001,customers!$G$1:$G$1001,,0,1)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6">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ID]],customers!$A$1:$A$1001,customers!$I$1:$I$1001,"",0,1)</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IF(_xlfn.XLOOKUP(C720,customers!$A$1:$A$1001,customers!$C$1:$C$1001,,0,1)=0,"",(_xlfn.XLOOKUP(C720,customers!$A$1:$A$1001,customers!$C$1:$C$1001,,0,1)))</f>
        <v>dheafordjy@twitpic.com</v>
      </c>
      <c r="H720" s="2" t="str">
        <f>_xlfn.XLOOKUP(C720,customers!$A$1:$A$1001,customers!$G$1:$G$1001,,0,1)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6">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ID]],customers!$A$1:$A$1001,customers!$I$1:$I$1001,"",0,1)</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IF(_xlfn.XLOOKUP(C721,customers!$A$1:$A$1001,customers!$C$1:$C$1001,,0,1)=0,"",(_xlfn.XLOOKUP(C721,customers!$A$1:$A$1001,customers!$C$1:$C$1001,,0,1)))</f>
        <v>gfanthamjz@hexun.com</v>
      </c>
      <c r="H721" s="2" t="str">
        <f>_xlfn.XLOOKUP(C721,customers!$A$1:$A$1001,customers!$G$1:$G$1001,,0,1)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6">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ID]],customers!$A$1:$A$1001,customers!$I$1:$I$1001,"",0,1)</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IF(_xlfn.XLOOKUP(C722,customers!$A$1:$A$1001,customers!$C$1:$C$1001,,0,1)=0,"",(_xlfn.XLOOKUP(C722,customers!$A$1:$A$1001,customers!$C$1:$C$1001,,0,1)))</f>
        <v>rcrookshanksk0@unc.edu</v>
      </c>
      <c r="H722" s="2" t="str">
        <f>_xlfn.XLOOKUP(C722,customers!$A$1:$A$1001,customers!$G$1:$G$1001,,0,1)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6">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ID]],customers!$A$1:$A$1001,customers!$I$1:$I$1001,"",0,1)</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IF(_xlfn.XLOOKUP(C723,customers!$A$1:$A$1001,customers!$C$1:$C$1001,,0,1)=0,"",(_xlfn.XLOOKUP(C723,customers!$A$1:$A$1001,customers!$C$1:$C$1001,,0,1)))</f>
        <v>nleakek1@cmu.edu</v>
      </c>
      <c r="H723" s="2" t="str">
        <f>_xlfn.XLOOKUP(C723,customers!$A$1:$A$1001,customers!$G$1:$G$1001,,0,1)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6">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ID]],customers!$A$1:$A$1001,customers!$I$1:$I$1001,"",0,1)</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IF(_xlfn.XLOOKUP(C724,customers!$A$1:$A$1001,customers!$C$1:$C$1001,,0,1)=0,"",(_xlfn.XLOOKUP(C724,customers!$A$1:$A$1001,customers!$C$1:$C$1001,,0,1)))</f>
        <v/>
      </c>
      <c r="H724" s="2" t="str">
        <f>_xlfn.XLOOKUP(C724,customers!$A$1:$A$1001,customers!$G$1:$G$1001,,0,1)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6">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ID]],customers!$A$1:$A$1001,customers!$I$1:$I$1001,"",0,1)</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IF(_xlfn.XLOOKUP(C725,customers!$A$1:$A$1001,customers!$C$1:$C$1001,,0,1)=0,"",(_xlfn.XLOOKUP(C725,customers!$A$1:$A$1001,customers!$C$1:$C$1001,,0,1)))</f>
        <v>geilhersenk3@networksolutions.com</v>
      </c>
      <c r="H725" s="2" t="str">
        <f>_xlfn.XLOOKUP(C725,customers!$A$1:$A$1001,customers!$G$1:$G$1001,,0,1)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6">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ID]],customers!$A$1:$A$1001,customers!$I$1:$I$1001,"",0,1)</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IF(_xlfn.XLOOKUP(C726,customers!$A$1:$A$1001,customers!$C$1:$C$1001,,0,1)=0,"",(_xlfn.XLOOKUP(C726,customers!$A$1:$A$1001,customers!$C$1:$C$1001,,0,1)))</f>
        <v/>
      </c>
      <c r="H726" s="2" t="str">
        <f>_xlfn.XLOOKUP(C726,customers!$A$1:$A$1001,customers!$G$1:$G$1001,,0,1)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6">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ID]],customers!$A$1:$A$1001,customers!$I$1:$I$1001,"",0,1)</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IF(_xlfn.XLOOKUP(C727,customers!$A$1:$A$1001,customers!$C$1:$C$1001,,0,1)=0,"",(_xlfn.XLOOKUP(C727,customers!$A$1:$A$1001,customers!$C$1:$C$1001,,0,1)))</f>
        <v>caleixok5@globo.com</v>
      </c>
      <c r="H727" s="2" t="str">
        <f>_xlfn.XLOOKUP(C727,customers!$A$1:$A$1001,customers!$G$1:$G$1001,,0,1)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6">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ID]],customers!$A$1:$A$1001,customers!$I$1:$I$1001,"",0,1)</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IF(_xlfn.XLOOKUP(C728,customers!$A$1:$A$1001,customers!$C$1:$C$1001,,0,1)=0,"",(_xlfn.XLOOKUP(C728,customers!$A$1:$A$1001,customers!$C$1:$C$1001,,0,1)))</f>
        <v/>
      </c>
      <c r="H728" s="2" t="str">
        <f>_xlfn.XLOOKUP(C728,customers!$A$1:$A$1001,customers!$G$1:$G$1001,,0,1)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6">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ID]],customers!$A$1:$A$1001,customers!$I$1:$I$1001,"",0,1)</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IF(_xlfn.XLOOKUP(C729,customers!$A$1:$A$1001,customers!$C$1:$C$1001,,0,1)=0,"",(_xlfn.XLOOKUP(C729,customers!$A$1:$A$1001,customers!$C$1:$C$1001,,0,1)))</f>
        <v>rtomkowiczk7@bravesites.com</v>
      </c>
      <c r="H729" s="2" t="str">
        <f>_xlfn.XLOOKUP(C729,customers!$A$1:$A$1001,customers!$G$1:$G$1001,,0,1)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6">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ID]],customers!$A$1:$A$1001,customers!$I$1:$I$1001,"",0,1)</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IF(_xlfn.XLOOKUP(C730,customers!$A$1:$A$1001,customers!$C$1:$C$1001,,0,1)=0,"",(_xlfn.XLOOKUP(C730,customers!$A$1:$A$1001,customers!$C$1:$C$1001,,0,1)))</f>
        <v>rhuscroftk8@jimdo.com</v>
      </c>
      <c r="H730" s="2" t="str">
        <f>_xlfn.XLOOKUP(C730,customers!$A$1:$A$1001,customers!$G$1:$G$1001,,0,1)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6">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ID]],customers!$A$1:$A$1001,customers!$I$1:$I$1001,"",0,1)</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IF(_xlfn.XLOOKUP(C731,customers!$A$1:$A$1001,customers!$C$1:$C$1001,,0,1)=0,"",(_xlfn.XLOOKUP(C731,customers!$A$1:$A$1001,customers!$C$1:$C$1001,,0,1)))</f>
        <v>sscurrerk9@flavors.me</v>
      </c>
      <c r="H731" s="2" t="str">
        <f>_xlfn.XLOOKUP(C731,customers!$A$1:$A$1001,customers!$G$1:$G$1001,,0,1)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6">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ID]],customers!$A$1:$A$1001,customers!$I$1:$I$1001,"",0,1)</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IF(_xlfn.XLOOKUP(C732,customers!$A$1:$A$1001,customers!$C$1:$C$1001,,0,1)=0,"",(_xlfn.XLOOKUP(C732,customers!$A$1:$A$1001,customers!$C$1:$C$1001,,0,1)))</f>
        <v>arudramka@prnewswire.com</v>
      </c>
      <c r="H732" s="2" t="str">
        <f>_xlfn.XLOOKUP(C732,customers!$A$1:$A$1001,customers!$G$1:$G$1001,,0,1)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6">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ID]],customers!$A$1:$A$1001,customers!$I$1:$I$1001,"",0,1)</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IF(_xlfn.XLOOKUP(C733,customers!$A$1:$A$1001,customers!$C$1:$C$1001,,0,1)=0,"",(_xlfn.XLOOKUP(C733,customers!$A$1:$A$1001,customers!$C$1:$C$1001,,0,1)))</f>
        <v/>
      </c>
      <c r="H733" s="2" t="str">
        <f>_xlfn.XLOOKUP(C733,customers!$A$1:$A$1001,customers!$G$1:$G$1001,,0,1)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6">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ID]],customers!$A$1:$A$1001,customers!$I$1:$I$1001,"",0,1)</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IF(_xlfn.XLOOKUP(C734,customers!$A$1:$A$1001,customers!$C$1:$C$1001,,0,1)=0,"",(_xlfn.XLOOKUP(C734,customers!$A$1:$A$1001,customers!$C$1:$C$1001,,0,1)))</f>
        <v>jmahakc@cyberchimps.com</v>
      </c>
      <c r="H734" s="2" t="str">
        <f>_xlfn.XLOOKUP(C734,customers!$A$1:$A$1001,customers!$G$1:$G$1001,,0,1)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6">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ID]],customers!$A$1:$A$1001,customers!$I$1:$I$1001,"",0,1)</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IF(_xlfn.XLOOKUP(C735,customers!$A$1:$A$1001,customers!$C$1:$C$1001,,0,1)=0,"",(_xlfn.XLOOKUP(C735,customers!$A$1:$A$1001,customers!$C$1:$C$1001,,0,1)))</f>
        <v>gclemonkd@networksolutions.com</v>
      </c>
      <c r="H735" s="2" t="str">
        <f>_xlfn.XLOOKUP(C735,customers!$A$1:$A$1001,customers!$G$1:$G$1001,,0,1)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6">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ID]],customers!$A$1:$A$1001,customers!$I$1:$I$1001,"",0,1)</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IF(_xlfn.XLOOKUP(C736,customers!$A$1:$A$1001,customers!$C$1:$C$1001,,0,1)=0,"",(_xlfn.XLOOKUP(C736,customers!$A$1:$A$1001,customers!$C$1:$C$1001,,0,1)))</f>
        <v/>
      </c>
      <c r="H736" s="2" t="str">
        <f>_xlfn.XLOOKUP(C736,customers!$A$1:$A$1001,customers!$G$1:$G$1001,,0,1)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6">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ID]],customers!$A$1:$A$1001,customers!$I$1:$I$1001,"",0,1)</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IF(_xlfn.XLOOKUP(C737,customers!$A$1:$A$1001,customers!$C$1:$C$1001,,0,1)=0,"",(_xlfn.XLOOKUP(C737,customers!$A$1:$A$1001,customers!$C$1:$C$1001,,0,1)))</f>
        <v>bpollinskf@shinystat.com</v>
      </c>
      <c r="H737" s="2" t="str">
        <f>_xlfn.XLOOKUP(C737,customers!$A$1:$A$1001,customers!$G$1:$G$1001,,0,1)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6">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ID]],customers!$A$1:$A$1001,customers!$I$1:$I$1001,"",0,1)</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IF(_xlfn.XLOOKUP(C738,customers!$A$1:$A$1001,customers!$C$1:$C$1001,,0,1)=0,"",(_xlfn.XLOOKUP(C738,customers!$A$1:$A$1001,customers!$C$1:$C$1001,,0,1)))</f>
        <v>jtoyekg@pinterest.com</v>
      </c>
      <c r="H738" s="2" t="str">
        <f>_xlfn.XLOOKUP(C738,customers!$A$1:$A$1001,customers!$G$1:$G$1001,,0,1)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6">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ID]],customers!$A$1:$A$1001,customers!$I$1:$I$1001,"",0,1)</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IF(_xlfn.XLOOKUP(C739,customers!$A$1:$A$1001,customers!$C$1:$C$1001,,0,1)=0,"",(_xlfn.XLOOKUP(C739,customers!$A$1:$A$1001,customers!$C$1:$C$1001,,0,1)))</f>
        <v>clinskillkh@sphinn.com</v>
      </c>
      <c r="H739" s="2" t="str">
        <f>_xlfn.XLOOKUP(C739,customers!$A$1:$A$1001,customers!$G$1:$G$1001,,0,1)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6">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ID]],customers!$A$1:$A$1001,customers!$I$1:$I$1001,"",0,1)</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IF(_xlfn.XLOOKUP(C740,customers!$A$1:$A$1001,customers!$C$1:$C$1001,,0,1)=0,"",(_xlfn.XLOOKUP(C740,customers!$A$1:$A$1001,customers!$C$1:$C$1001,,0,1)))</f>
        <v>nvigrasski@ezinearticles.com</v>
      </c>
      <c r="H740" s="2" t="str">
        <f>_xlfn.XLOOKUP(C740,customers!$A$1:$A$1001,customers!$G$1:$G$1001,,0,1)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6">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ID]],customers!$A$1:$A$1001,customers!$I$1:$I$1001,"",0,1)</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IF(_xlfn.XLOOKUP(C741,customers!$A$1:$A$1001,customers!$C$1:$C$1001,,0,1)=0,"",(_xlfn.XLOOKUP(C741,customers!$A$1:$A$1001,customers!$C$1:$C$1001,,0,1)))</f>
        <v>jdymokeje@prnewswire.com</v>
      </c>
      <c r="H741" s="2" t="str">
        <f>_xlfn.XLOOKUP(C741,customers!$A$1:$A$1001,customers!$G$1:$G$1001,,0,1)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6">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ID]],customers!$A$1:$A$1001,customers!$I$1:$I$1001,"",0,1)</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IF(_xlfn.XLOOKUP(C742,customers!$A$1:$A$1001,customers!$C$1:$C$1001,,0,1)=0,"",(_xlfn.XLOOKUP(C742,customers!$A$1:$A$1001,customers!$C$1:$C$1001,,0,1)))</f>
        <v>kcragellkk@google.com</v>
      </c>
      <c r="H742" s="2" t="str">
        <f>_xlfn.XLOOKUP(C742,customers!$A$1:$A$1001,customers!$G$1:$G$1001,,0,1)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6">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ID]],customers!$A$1:$A$1001,customers!$I$1:$I$1001,"",0,1)</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IF(_xlfn.XLOOKUP(C743,customers!$A$1:$A$1001,customers!$C$1:$C$1001,,0,1)=0,"",(_xlfn.XLOOKUP(C743,customers!$A$1:$A$1001,customers!$C$1:$C$1001,,0,1)))</f>
        <v>libertkl@huffingtonpost.com</v>
      </c>
      <c r="H743" s="2" t="str">
        <f>_xlfn.XLOOKUP(C743,customers!$A$1:$A$1001,customers!$G$1:$G$1001,,0,1)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6">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ID]],customers!$A$1:$A$1001,customers!$I$1:$I$1001,"",0,1)</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IF(_xlfn.XLOOKUP(C744,customers!$A$1:$A$1001,customers!$C$1:$C$1001,,0,1)=0,"",(_xlfn.XLOOKUP(C744,customers!$A$1:$A$1001,customers!$C$1:$C$1001,,0,1)))</f>
        <v>rlidgeykm@vimeo.com</v>
      </c>
      <c r="H744" s="2" t="str">
        <f>_xlfn.XLOOKUP(C744,customers!$A$1:$A$1001,customers!$G$1:$G$1001,,0,1)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6">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ID]],customers!$A$1:$A$1001,customers!$I$1:$I$1001,"",0,1)</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IF(_xlfn.XLOOKUP(C745,customers!$A$1:$A$1001,customers!$C$1:$C$1001,,0,1)=0,"",(_xlfn.XLOOKUP(C745,customers!$A$1:$A$1001,customers!$C$1:$C$1001,,0,1)))</f>
        <v>tcastagnekn@wikia.com</v>
      </c>
      <c r="H745" s="2" t="str">
        <f>_xlfn.XLOOKUP(C745,customers!$A$1:$A$1001,customers!$G$1:$G$1001,,0,1)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6">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ID]],customers!$A$1:$A$1001,customers!$I$1:$I$1001,"",0,1)</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IF(_xlfn.XLOOKUP(C746,customers!$A$1:$A$1001,customers!$C$1:$C$1001,,0,1)=0,"",(_xlfn.XLOOKUP(C746,customers!$A$1:$A$1001,customers!$C$1:$C$1001,,0,1)))</f>
        <v/>
      </c>
      <c r="H746" s="2" t="str">
        <f>_xlfn.XLOOKUP(C746,customers!$A$1:$A$1001,customers!$G$1:$G$1001,,0,1)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6">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ID]],customers!$A$1:$A$1001,customers!$I$1:$I$1001,"",0,1)</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IF(_xlfn.XLOOKUP(C747,customers!$A$1:$A$1001,customers!$C$1:$C$1001,,0,1)=0,"",(_xlfn.XLOOKUP(C747,customers!$A$1:$A$1001,customers!$C$1:$C$1001,,0,1)))</f>
        <v>jhaldenkp@comcast.net</v>
      </c>
      <c r="H747" s="2" t="str">
        <f>_xlfn.XLOOKUP(C747,customers!$A$1:$A$1001,customers!$G$1:$G$1001,,0,1)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6">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ID]],customers!$A$1:$A$1001,customers!$I$1:$I$1001,"",0,1)</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IF(_xlfn.XLOOKUP(C748,customers!$A$1:$A$1001,customers!$C$1:$C$1001,,0,1)=0,"",(_xlfn.XLOOKUP(C748,customers!$A$1:$A$1001,customers!$C$1:$C$1001,,0,1)))</f>
        <v>holliffkq@sciencedirect.com</v>
      </c>
      <c r="H748" s="2" t="str">
        <f>_xlfn.XLOOKUP(C748,customers!$A$1:$A$1001,customers!$G$1:$G$1001,,0,1)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6">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ID]],customers!$A$1:$A$1001,customers!$I$1:$I$1001,"",0,1)</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IF(_xlfn.XLOOKUP(C749,customers!$A$1:$A$1001,customers!$C$1:$C$1001,,0,1)=0,"",(_xlfn.XLOOKUP(C749,customers!$A$1:$A$1001,customers!$C$1:$C$1001,,0,1)))</f>
        <v>tquadrikr@opensource.org</v>
      </c>
      <c r="H749" s="2" t="str">
        <f>_xlfn.XLOOKUP(C749,customers!$A$1:$A$1001,customers!$G$1:$G$1001,,0,1)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6">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ID]],customers!$A$1:$A$1001,customers!$I$1:$I$1001,"",0,1)</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IF(_xlfn.XLOOKUP(C750,customers!$A$1:$A$1001,customers!$C$1:$C$1001,,0,1)=0,"",(_xlfn.XLOOKUP(C750,customers!$A$1:$A$1001,customers!$C$1:$C$1001,,0,1)))</f>
        <v>feshmadeks@umn.edu</v>
      </c>
      <c r="H750" s="2" t="str">
        <f>_xlfn.XLOOKUP(C750,customers!$A$1:$A$1001,customers!$G$1:$G$1001,,0,1)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6">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ID]],customers!$A$1:$A$1001,customers!$I$1:$I$1001,"",0,1)</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IF(_xlfn.XLOOKUP(C751,customers!$A$1:$A$1001,customers!$C$1:$C$1001,,0,1)=0,"",(_xlfn.XLOOKUP(C751,customers!$A$1:$A$1001,customers!$C$1:$C$1001,,0,1)))</f>
        <v>moilierkt@paginegialle.it</v>
      </c>
      <c r="H751" s="2" t="str">
        <f>_xlfn.XLOOKUP(C751,customers!$A$1:$A$1001,customers!$G$1:$G$1001,,0,1)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6">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ID]],customers!$A$1:$A$1001,customers!$I$1:$I$1001,"",0,1)</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IF(_xlfn.XLOOKUP(C752,customers!$A$1:$A$1001,customers!$C$1:$C$1001,,0,1)=0,"",(_xlfn.XLOOKUP(C752,customers!$A$1:$A$1001,customers!$C$1:$C$1001,,0,1)))</f>
        <v/>
      </c>
      <c r="H752" s="2" t="str">
        <f>_xlfn.XLOOKUP(C752,customers!$A$1:$A$1001,customers!$G$1:$G$1001,,0,1)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6">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ID]],customers!$A$1:$A$1001,customers!$I$1:$I$1001,"",0,1)</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IF(_xlfn.XLOOKUP(C753,customers!$A$1:$A$1001,customers!$C$1:$C$1001,,0,1)=0,"",(_xlfn.XLOOKUP(C753,customers!$A$1:$A$1001,customers!$C$1:$C$1001,,0,1)))</f>
        <v>vshoebothamkv@redcross.org</v>
      </c>
      <c r="H753" s="2" t="str">
        <f>_xlfn.XLOOKUP(C753,customers!$A$1:$A$1001,customers!$G$1:$G$1001,,0,1)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6">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ID]],customers!$A$1:$A$1001,customers!$I$1:$I$1001,"",0,1)</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IF(_xlfn.XLOOKUP(C754,customers!$A$1:$A$1001,customers!$C$1:$C$1001,,0,1)=0,"",(_xlfn.XLOOKUP(C754,customers!$A$1:$A$1001,customers!$C$1:$C$1001,,0,1)))</f>
        <v>bsterkekw@biblegateway.com</v>
      </c>
      <c r="H754" s="2" t="str">
        <f>_xlfn.XLOOKUP(C754,customers!$A$1:$A$1001,customers!$G$1:$G$1001,,0,1)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6">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ID]],customers!$A$1:$A$1001,customers!$I$1:$I$1001,"",0,1)</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IF(_xlfn.XLOOKUP(C755,customers!$A$1:$A$1001,customers!$C$1:$C$1001,,0,1)=0,"",(_xlfn.XLOOKUP(C755,customers!$A$1:$A$1001,customers!$C$1:$C$1001,,0,1)))</f>
        <v>scaponkx@craigslist.org</v>
      </c>
      <c r="H755" s="2" t="str">
        <f>_xlfn.XLOOKUP(C755,customers!$A$1:$A$1001,customers!$G$1:$G$1001,,0,1)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6">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ID]],customers!$A$1:$A$1001,customers!$I$1:$I$1001,"",0,1)</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IF(_xlfn.XLOOKUP(C756,customers!$A$1:$A$1001,customers!$C$1:$C$1001,,0,1)=0,"",(_xlfn.XLOOKUP(C756,customers!$A$1:$A$1001,customers!$C$1:$C$1001,,0,1)))</f>
        <v>jdymokeje@prnewswire.com</v>
      </c>
      <c r="H756" s="2" t="str">
        <f>_xlfn.XLOOKUP(C756,customers!$A$1:$A$1001,customers!$G$1:$G$1001,,0,1)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6">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ID]],customers!$A$1:$A$1001,customers!$I$1:$I$1001,"",0,1)</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IF(_xlfn.XLOOKUP(C757,customers!$A$1:$A$1001,customers!$C$1:$C$1001,,0,1)=0,"",(_xlfn.XLOOKUP(C757,customers!$A$1:$A$1001,customers!$C$1:$C$1001,,0,1)))</f>
        <v>fconstancekz@ifeng.com</v>
      </c>
      <c r="H757" s="2" t="str">
        <f>_xlfn.XLOOKUP(C757,customers!$A$1:$A$1001,customers!$G$1:$G$1001,,0,1)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6">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ID]],customers!$A$1:$A$1001,customers!$I$1:$I$1001,"",0,1)</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IF(_xlfn.XLOOKUP(C758,customers!$A$1:$A$1001,customers!$C$1:$C$1001,,0,1)=0,"",(_xlfn.XLOOKUP(C758,customers!$A$1:$A$1001,customers!$C$1:$C$1001,,0,1)))</f>
        <v>fsulmanl0@washington.edu</v>
      </c>
      <c r="H758" s="2" t="str">
        <f>_xlfn.XLOOKUP(C758,customers!$A$1:$A$1001,customers!$G$1:$G$1001,,0,1)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6">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ID]],customers!$A$1:$A$1001,customers!$I$1:$I$1001,"",0,1)</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IF(_xlfn.XLOOKUP(C759,customers!$A$1:$A$1001,customers!$C$1:$C$1001,,0,1)=0,"",(_xlfn.XLOOKUP(C759,customers!$A$1:$A$1001,customers!$C$1:$C$1001,,0,1)))</f>
        <v>dhollymanl1@ibm.com</v>
      </c>
      <c r="H759" s="2" t="str">
        <f>_xlfn.XLOOKUP(C759,customers!$A$1:$A$1001,customers!$G$1:$G$1001,,0,1)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6">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ID]],customers!$A$1:$A$1001,customers!$I$1:$I$1001,"",0,1)</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IF(_xlfn.XLOOKUP(C760,customers!$A$1:$A$1001,customers!$C$1:$C$1001,,0,1)=0,"",(_xlfn.XLOOKUP(C760,customers!$A$1:$A$1001,customers!$C$1:$C$1001,,0,1)))</f>
        <v>lnardonil2@hao123.com</v>
      </c>
      <c r="H760" s="2" t="str">
        <f>_xlfn.XLOOKUP(C760,customers!$A$1:$A$1001,customers!$G$1:$G$1001,,0,1)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6">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ID]],customers!$A$1:$A$1001,customers!$I$1:$I$1001,"",0,1)</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IF(_xlfn.XLOOKUP(C761,customers!$A$1:$A$1001,customers!$C$1:$C$1001,,0,1)=0,"",(_xlfn.XLOOKUP(C761,customers!$A$1:$A$1001,customers!$C$1:$C$1001,,0,1)))</f>
        <v>dyarhaml3@moonfruit.com</v>
      </c>
      <c r="H761" s="2" t="str">
        <f>_xlfn.XLOOKUP(C761,customers!$A$1:$A$1001,customers!$G$1:$G$1001,,0,1)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6">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ID]],customers!$A$1:$A$1001,customers!$I$1:$I$1001,"",0,1)</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IF(_xlfn.XLOOKUP(C762,customers!$A$1:$A$1001,customers!$C$1:$C$1001,,0,1)=0,"",(_xlfn.XLOOKUP(C762,customers!$A$1:$A$1001,customers!$C$1:$C$1001,,0,1)))</f>
        <v>aferreal4@wikia.com</v>
      </c>
      <c r="H762" s="2" t="str">
        <f>_xlfn.XLOOKUP(C762,customers!$A$1:$A$1001,customers!$G$1:$G$1001,,0,1)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6">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ID]],customers!$A$1:$A$1001,customers!$I$1:$I$1001,"",0,1)</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IF(_xlfn.XLOOKUP(C763,customers!$A$1:$A$1001,customers!$C$1:$C$1001,,0,1)=0,"",(_xlfn.XLOOKUP(C763,customers!$A$1:$A$1001,customers!$C$1:$C$1001,,0,1)))</f>
        <v>ckendrickl5@webnode.com</v>
      </c>
      <c r="H763" s="2" t="str">
        <f>_xlfn.XLOOKUP(C763,customers!$A$1:$A$1001,customers!$G$1:$G$1001,,0,1)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6">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ID]],customers!$A$1:$A$1001,customers!$I$1:$I$1001,"",0,1)</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IF(_xlfn.XLOOKUP(C764,customers!$A$1:$A$1001,customers!$C$1:$C$1001,,0,1)=0,"",(_xlfn.XLOOKUP(C764,customers!$A$1:$A$1001,customers!$C$1:$C$1001,,0,1)))</f>
        <v>sdanilchikl6@mit.edu</v>
      </c>
      <c r="H764" s="2" t="str">
        <f>_xlfn.XLOOKUP(C764,customers!$A$1:$A$1001,customers!$G$1:$G$1001,,0,1)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6">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ID]],customers!$A$1:$A$1001,customers!$I$1:$I$1001,"",0,1)</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IF(_xlfn.XLOOKUP(C765,customers!$A$1:$A$1001,customers!$C$1:$C$1001,,0,1)=0,"",(_xlfn.XLOOKUP(C765,customers!$A$1:$A$1001,customers!$C$1:$C$1001,,0,1)))</f>
        <v/>
      </c>
      <c r="H765" s="2" t="str">
        <f>_xlfn.XLOOKUP(C765,customers!$A$1:$A$1001,customers!$G$1:$G$1001,,0,1)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6">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ID]],customers!$A$1:$A$1001,customers!$I$1:$I$1001,"",0,1)</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IF(_xlfn.XLOOKUP(C766,customers!$A$1:$A$1001,customers!$C$1:$C$1001,,0,1)=0,"",(_xlfn.XLOOKUP(C766,customers!$A$1:$A$1001,customers!$C$1:$C$1001,,0,1)))</f>
        <v>bfolomkinl8@yolasite.com</v>
      </c>
      <c r="H766" s="2" t="str">
        <f>_xlfn.XLOOKUP(C766,customers!$A$1:$A$1001,customers!$G$1:$G$1001,,0,1)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6">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ID]],customers!$A$1:$A$1001,customers!$I$1:$I$1001,"",0,1)</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IF(_xlfn.XLOOKUP(C767,customers!$A$1:$A$1001,customers!$C$1:$C$1001,,0,1)=0,"",(_xlfn.XLOOKUP(C767,customers!$A$1:$A$1001,customers!$C$1:$C$1001,,0,1)))</f>
        <v>rpursglovel9@biblegateway.com</v>
      </c>
      <c r="H767" s="2" t="str">
        <f>_xlfn.XLOOKUP(C767,customers!$A$1:$A$1001,customers!$G$1:$G$1001,,0,1)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6">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ID]],customers!$A$1:$A$1001,customers!$I$1:$I$1001,"",0,1)</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IF(_xlfn.XLOOKUP(C768,customers!$A$1:$A$1001,customers!$C$1:$C$1001,,0,1)=0,"",(_xlfn.XLOOKUP(C768,customers!$A$1:$A$1001,customers!$C$1:$C$1001,,0,1)))</f>
        <v>rpursglovel9@biblegateway.com</v>
      </c>
      <c r="H768" s="2" t="str">
        <f>_xlfn.XLOOKUP(C768,customers!$A$1:$A$1001,customers!$G$1:$G$1001,,0,1)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6">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ID]],customers!$A$1:$A$1001,customers!$I$1:$I$1001,"",0,1)</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IF(_xlfn.XLOOKUP(C769,customers!$A$1:$A$1001,customers!$C$1:$C$1001,,0,1)=0,"",(_xlfn.XLOOKUP(C769,customers!$A$1:$A$1001,customers!$C$1:$C$1001,,0,1)))</f>
        <v>fconstancekz@ifeng.com</v>
      </c>
      <c r="H769" s="2" t="str">
        <f>_xlfn.XLOOKUP(C769,customers!$A$1:$A$1001,customers!$G$1:$G$1001,,0,1)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6">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ID]],customers!$A$1:$A$1001,customers!$I$1:$I$1001,"",0,1)</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IF(_xlfn.XLOOKUP(C770,customers!$A$1:$A$1001,customers!$C$1:$C$1001,,0,1)=0,"",(_xlfn.XLOOKUP(C770,customers!$A$1:$A$1001,customers!$C$1:$C$1001,,0,1)))</f>
        <v>fconstancekz@ifeng.com</v>
      </c>
      <c r="H770" s="2" t="str">
        <f>_xlfn.XLOOKUP(C770,customers!$A$1:$A$1001,customers!$G$1:$G$1001,,0,1)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6">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ID]],customers!$A$1:$A$1001,customers!$I$1:$I$1001,"",0,1)</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IF(_xlfn.XLOOKUP(C771,customers!$A$1:$A$1001,customers!$C$1:$C$1001,,0,1)=0,"",(_xlfn.XLOOKUP(C771,customers!$A$1:$A$1001,customers!$C$1:$C$1001,,0,1)))</f>
        <v>deburahld@google.co.jp</v>
      </c>
      <c r="H771" s="2" t="str">
        <f>_xlfn.XLOOKUP(C771,customers!$A$1:$A$1001,customers!$G$1:$G$1001,,0,1)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6">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ID]],customers!$A$1:$A$1001,customers!$I$1:$I$1001,"",0,1)</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IF(_xlfn.XLOOKUP(C772,customers!$A$1:$A$1001,customers!$C$1:$C$1001,,0,1)=0,"",(_xlfn.XLOOKUP(C772,customers!$A$1:$A$1001,customers!$C$1:$C$1001,,0,1)))</f>
        <v>mbrimilcombele@cnn.com</v>
      </c>
      <c r="H772" s="2" t="str">
        <f>_xlfn.XLOOKUP(C772,customers!$A$1:$A$1001,customers!$G$1:$G$1001,,0,1)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6">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ID]],customers!$A$1:$A$1001,customers!$I$1:$I$1001,"",0,1)</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IF(_xlfn.XLOOKUP(C773,customers!$A$1:$A$1001,customers!$C$1:$C$1001,,0,1)=0,"",(_xlfn.XLOOKUP(C773,customers!$A$1:$A$1001,customers!$C$1:$C$1001,,0,1)))</f>
        <v>sbollamlf@list-manage.com</v>
      </c>
      <c r="H773" s="2" t="str">
        <f>_xlfn.XLOOKUP(C773,customers!$A$1:$A$1001,customers!$G$1:$G$1001,,0,1)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6">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ID]],customers!$A$1:$A$1001,customers!$I$1:$I$1001,"",0,1)</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IF(_xlfn.XLOOKUP(C774,customers!$A$1:$A$1001,customers!$C$1:$C$1001,,0,1)=0,"",(_xlfn.XLOOKUP(C774,customers!$A$1:$A$1001,customers!$C$1:$C$1001,,0,1)))</f>
        <v/>
      </c>
      <c r="H774" s="2" t="str">
        <f>_xlfn.XLOOKUP(C774,customers!$A$1:$A$1001,customers!$G$1:$G$1001,,0,1)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6">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ID]],customers!$A$1:$A$1001,customers!$I$1:$I$1001,"",0,1)</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IF(_xlfn.XLOOKUP(C775,customers!$A$1:$A$1001,customers!$C$1:$C$1001,,0,1)=0,"",(_xlfn.XLOOKUP(C775,customers!$A$1:$A$1001,customers!$C$1:$C$1001,,0,1)))</f>
        <v>afilipczaklh@ning.com</v>
      </c>
      <c r="H775" s="2" t="str">
        <f>_xlfn.XLOOKUP(C775,customers!$A$1:$A$1001,customers!$G$1:$G$1001,,0,1)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6">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ID]],customers!$A$1:$A$1001,customers!$I$1:$I$1001,"",0,1)</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IF(_xlfn.XLOOKUP(C776,customers!$A$1:$A$1001,customers!$C$1:$C$1001,,0,1)=0,"",(_xlfn.XLOOKUP(C776,customers!$A$1:$A$1001,customers!$C$1:$C$1001,,0,1)))</f>
        <v/>
      </c>
      <c r="H776" s="2" t="str">
        <f>_xlfn.XLOOKUP(C776,customers!$A$1:$A$1001,customers!$G$1:$G$1001,,0,1)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6">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ID]],customers!$A$1:$A$1001,customers!$I$1:$I$1001,"",0,1)</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IF(_xlfn.XLOOKUP(C777,customers!$A$1:$A$1001,customers!$C$1:$C$1001,,0,1)=0,"",(_xlfn.XLOOKUP(C777,customers!$A$1:$A$1001,customers!$C$1:$C$1001,,0,1)))</f>
        <v>relnaughlj@comsenz.com</v>
      </c>
      <c r="H777" s="2" t="str">
        <f>_xlfn.XLOOKUP(C777,customers!$A$1:$A$1001,customers!$G$1:$G$1001,,0,1)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6">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ID]],customers!$A$1:$A$1001,customers!$I$1:$I$1001,"",0,1)</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IF(_xlfn.XLOOKUP(C778,customers!$A$1:$A$1001,customers!$C$1:$C$1001,,0,1)=0,"",(_xlfn.XLOOKUP(C778,customers!$A$1:$A$1001,customers!$C$1:$C$1001,,0,1)))</f>
        <v>jdeehanlk@about.me</v>
      </c>
      <c r="H778" s="2" t="str">
        <f>_xlfn.XLOOKUP(C778,customers!$A$1:$A$1001,customers!$G$1:$G$1001,,0,1)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6">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ID]],customers!$A$1:$A$1001,customers!$I$1:$I$1001,"",0,1)</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IF(_xlfn.XLOOKUP(C779,customers!$A$1:$A$1001,customers!$C$1:$C$1001,,0,1)=0,"",(_xlfn.XLOOKUP(C779,customers!$A$1:$A$1001,customers!$C$1:$C$1001,,0,1)))</f>
        <v>jedenll@e-recht24.de</v>
      </c>
      <c r="H779" s="2" t="str">
        <f>_xlfn.XLOOKUP(C779,customers!$A$1:$A$1001,customers!$G$1:$G$1001,,0,1)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6">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ID]],customers!$A$1:$A$1001,customers!$I$1:$I$1001,"",0,1)</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IF(_xlfn.XLOOKUP(C780,customers!$A$1:$A$1001,customers!$C$1:$C$1001,,0,1)=0,"",(_xlfn.XLOOKUP(C780,customers!$A$1:$A$1001,customers!$C$1:$C$1001,,0,1)))</f>
        <v>cjewsterlu@moonfruit.com</v>
      </c>
      <c r="H780" s="2" t="str">
        <f>_xlfn.XLOOKUP(C780,customers!$A$1:$A$1001,customers!$G$1:$G$1001,,0,1)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6">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ID]],customers!$A$1:$A$1001,customers!$I$1:$I$1001,"",0,1)</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IF(_xlfn.XLOOKUP(C781,customers!$A$1:$A$1001,customers!$C$1:$C$1001,,0,1)=0,"",(_xlfn.XLOOKUP(C781,customers!$A$1:$A$1001,customers!$C$1:$C$1001,,0,1)))</f>
        <v>usoutherdenln@hao123.com</v>
      </c>
      <c r="H781" s="2" t="str">
        <f>_xlfn.XLOOKUP(C781,customers!$A$1:$A$1001,customers!$G$1:$G$1001,,0,1)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6">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ID]],customers!$A$1:$A$1001,customers!$I$1:$I$1001,"",0,1)</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IF(_xlfn.XLOOKUP(C782,customers!$A$1:$A$1001,customers!$C$1:$C$1001,,0,1)=0,"",(_xlfn.XLOOKUP(C782,customers!$A$1:$A$1001,customers!$C$1:$C$1001,,0,1)))</f>
        <v/>
      </c>
      <c r="H782" s="2" t="str">
        <f>_xlfn.XLOOKUP(C782,customers!$A$1:$A$1001,customers!$G$1:$G$1001,,0,1)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6">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ID]],customers!$A$1:$A$1001,customers!$I$1:$I$1001,"",0,1)</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IF(_xlfn.XLOOKUP(C783,customers!$A$1:$A$1001,customers!$C$1:$C$1001,,0,1)=0,"",(_xlfn.XLOOKUP(C783,customers!$A$1:$A$1001,customers!$C$1:$C$1001,,0,1)))</f>
        <v>lburtenshawlp@shinystat.com</v>
      </c>
      <c r="H783" s="2" t="str">
        <f>_xlfn.XLOOKUP(C783,customers!$A$1:$A$1001,customers!$G$1:$G$1001,,0,1)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6">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ID]],customers!$A$1:$A$1001,customers!$I$1:$I$1001,"",0,1)</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IF(_xlfn.XLOOKUP(C784,customers!$A$1:$A$1001,customers!$C$1:$C$1001,,0,1)=0,"",(_xlfn.XLOOKUP(C784,customers!$A$1:$A$1001,customers!$C$1:$C$1001,,0,1)))</f>
        <v>agregorattilq@vistaprint.com</v>
      </c>
      <c r="H784" s="2" t="str">
        <f>_xlfn.XLOOKUP(C784,customers!$A$1:$A$1001,customers!$G$1:$G$1001,,0,1)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6">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ID]],customers!$A$1:$A$1001,customers!$I$1:$I$1001,"",0,1)</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IF(_xlfn.XLOOKUP(C785,customers!$A$1:$A$1001,customers!$C$1:$C$1001,,0,1)=0,"",(_xlfn.XLOOKUP(C785,customers!$A$1:$A$1001,customers!$C$1:$C$1001,,0,1)))</f>
        <v>ccrosterlr@gov.uk</v>
      </c>
      <c r="H785" s="2" t="str">
        <f>_xlfn.XLOOKUP(C785,customers!$A$1:$A$1001,customers!$G$1:$G$1001,,0,1)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6">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ID]],customers!$A$1:$A$1001,customers!$I$1:$I$1001,"",0,1)</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IF(_xlfn.XLOOKUP(C786,customers!$A$1:$A$1001,customers!$C$1:$C$1001,,0,1)=0,"",(_xlfn.XLOOKUP(C786,customers!$A$1:$A$1001,customers!$C$1:$C$1001,,0,1)))</f>
        <v>gwhiteheadls@hp.com</v>
      </c>
      <c r="H786" s="2" t="str">
        <f>_xlfn.XLOOKUP(C786,customers!$A$1:$A$1001,customers!$G$1:$G$1001,,0,1)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6">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ID]],customers!$A$1:$A$1001,customers!$I$1:$I$1001,"",0,1)</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IF(_xlfn.XLOOKUP(C787,customers!$A$1:$A$1001,customers!$C$1:$C$1001,,0,1)=0,"",(_xlfn.XLOOKUP(C787,customers!$A$1:$A$1001,customers!$C$1:$C$1001,,0,1)))</f>
        <v>hjodrellelt@samsung.com</v>
      </c>
      <c r="H787" s="2" t="str">
        <f>_xlfn.XLOOKUP(C787,customers!$A$1:$A$1001,customers!$G$1:$G$1001,,0,1)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6">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ID]],customers!$A$1:$A$1001,customers!$I$1:$I$1001,"",0,1)</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IF(_xlfn.XLOOKUP(C788,customers!$A$1:$A$1001,customers!$C$1:$C$1001,,0,1)=0,"",(_xlfn.XLOOKUP(C788,customers!$A$1:$A$1001,customers!$C$1:$C$1001,,0,1)))</f>
        <v>cjewsterlu@moonfruit.com</v>
      </c>
      <c r="H788" s="2" t="str">
        <f>_xlfn.XLOOKUP(C788,customers!$A$1:$A$1001,customers!$G$1:$G$1001,,0,1)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6">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ID]],customers!$A$1:$A$1001,customers!$I$1:$I$1001,"",0,1)</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IF(_xlfn.XLOOKUP(C789,customers!$A$1:$A$1001,customers!$C$1:$C$1001,,0,1)=0,"",(_xlfn.XLOOKUP(C789,customers!$A$1:$A$1001,customers!$C$1:$C$1001,,0,1)))</f>
        <v/>
      </c>
      <c r="H789" s="2" t="str">
        <f>_xlfn.XLOOKUP(C789,customers!$A$1:$A$1001,customers!$G$1:$G$1001,,0,1)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6">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ID]],customers!$A$1:$A$1001,customers!$I$1:$I$1001,"",0,1)</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IF(_xlfn.XLOOKUP(C790,customers!$A$1:$A$1001,customers!$C$1:$C$1001,,0,1)=0,"",(_xlfn.XLOOKUP(C790,customers!$A$1:$A$1001,customers!$C$1:$C$1001,,0,1)))</f>
        <v>knottramlw@odnoklassniki.ru</v>
      </c>
      <c r="H790" s="2" t="str">
        <f>_xlfn.XLOOKUP(C790,customers!$A$1:$A$1001,customers!$G$1:$G$1001,,0,1)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6">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ID]],customers!$A$1:$A$1001,customers!$I$1:$I$1001,"",0,1)</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IF(_xlfn.XLOOKUP(C791,customers!$A$1:$A$1001,customers!$C$1:$C$1001,,0,1)=0,"",(_xlfn.XLOOKUP(C791,customers!$A$1:$A$1001,customers!$C$1:$C$1001,,0,1)))</f>
        <v>nbuneylx@jugem.jp</v>
      </c>
      <c r="H791" s="2" t="str">
        <f>_xlfn.XLOOKUP(C791,customers!$A$1:$A$1001,customers!$G$1:$G$1001,,0,1)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6">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ID]],customers!$A$1:$A$1001,customers!$I$1:$I$1001,"",0,1)</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IF(_xlfn.XLOOKUP(C792,customers!$A$1:$A$1001,customers!$C$1:$C$1001,,0,1)=0,"",(_xlfn.XLOOKUP(C792,customers!$A$1:$A$1001,customers!$C$1:$C$1001,,0,1)))</f>
        <v>smcshealy@photobucket.com</v>
      </c>
      <c r="H792" s="2" t="str">
        <f>_xlfn.XLOOKUP(C792,customers!$A$1:$A$1001,customers!$G$1:$G$1001,,0,1)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6">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ID]],customers!$A$1:$A$1001,customers!$I$1:$I$1001,"",0,1)</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IF(_xlfn.XLOOKUP(C793,customers!$A$1:$A$1001,customers!$C$1:$C$1001,,0,1)=0,"",(_xlfn.XLOOKUP(C793,customers!$A$1:$A$1001,customers!$C$1:$C$1001,,0,1)))</f>
        <v>khuddartlz@about.com</v>
      </c>
      <c r="H793" s="2" t="str">
        <f>_xlfn.XLOOKUP(C793,customers!$A$1:$A$1001,customers!$G$1:$G$1001,,0,1)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6">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ID]],customers!$A$1:$A$1001,customers!$I$1:$I$1001,"",0,1)</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IF(_xlfn.XLOOKUP(C794,customers!$A$1:$A$1001,customers!$C$1:$C$1001,,0,1)=0,"",(_xlfn.XLOOKUP(C794,customers!$A$1:$A$1001,customers!$C$1:$C$1001,,0,1)))</f>
        <v>jgippesm0@cloudflare.com</v>
      </c>
      <c r="H794" s="2" t="str">
        <f>_xlfn.XLOOKUP(C794,customers!$A$1:$A$1001,customers!$G$1:$G$1001,,0,1)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6">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ID]],customers!$A$1:$A$1001,customers!$I$1:$I$1001,"",0,1)</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IF(_xlfn.XLOOKUP(C795,customers!$A$1:$A$1001,customers!$C$1:$C$1001,,0,1)=0,"",(_xlfn.XLOOKUP(C795,customers!$A$1:$A$1001,customers!$C$1:$C$1001,,0,1)))</f>
        <v>lwhittleseem1@e-recht24.de</v>
      </c>
      <c r="H795" s="2" t="str">
        <f>_xlfn.XLOOKUP(C795,customers!$A$1:$A$1001,customers!$G$1:$G$1001,,0,1)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6">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ID]],customers!$A$1:$A$1001,customers!$I$1:$I$1001,"",0,1)</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IF(_xlfn.XLOOKUP(C796,customers!$A$1:$A$1001,customers!$C$1:$C$1001,,0,1)=0,"",(_xlfn.XLOOKUP(C796,customers!$A$1:$A$1001,customers!$C$1:$C$1001,,0,1)))</f>
        <v>gtrengrovem2@elpais.com</v>
      </c>
      <c r="H796" s="2" t="str">
        <f>_xlfn.XLOOKUP(C796,customers!$A$1:$A$1001,customers!$G$1:$G$1001,,0,1)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6">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ID]],customers!$A$1:$A$1001,customers!$I$1:$I$1001,"",0,1)</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IF(_xlfn.XLOOKUP(C797,customers!$A$1:$A$1001,customers!$C$1:$C$1001,,0,1)=0,"",(_xlfn.XLOOKUP(C797,customers!$A$1:$A$1001,customers!$C$1:$C$1001,,0,1)))</f>
        <v>wcalderom3@stumbleupon.com</v>
      </c>
      <c r="H797" s="2" t="str">
        <f>_xlfn.XLOOKUP(C797,customers!$A$1:$A$1001,customers!$G$1:$G$1001,,0,1)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6">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ID]],customers!$A$1:$A$1001,customers!$I$1:$I$1001,"",0,1)</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IF(_xlfn.XLOOKUP(C798,customers!$A$1:$A$1001,customers!$C$1:$C$1001,,0,1)=0,"",(_xlfn.XLOOKUP(C798,customers!$A$1:$A$1001,customers!$C$1:$C$1001,,0,1)))</f>
        <v/>
      </c>
      <c r="H798" s="2" t="str">
        <f>_xlfn.XLOOKUP(C798,customers!$A$1:$A$1001,customers!$G$1:$G$1001,,0,1)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6">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ID]],customers!$A$1:$A$1001,customers!$I$1:$I$1001,"",0,1)</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IF(_xlfn.XLOOKUP(C799,customers!$A$1:$A$1001,customers!$C$1:$C$1001,,0,1)=0,"",(_xlfn.XLOOKUP(C799,customers!$A$1:$A$1001,customers!$C$1:$C$1001,,0,1)))</f>
        <v>jkennicottm5@yahoo.co.jp</v>
      </c>
      <c r="H799" s="2" t="str">
        <f>_xlfn.XLOOKUP(C799,customers!$A$1:$A$1001,customers!$G$1:$G$1001,,0,1)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6">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ID]],customers!$A$1:$A$1001,customers!$I$1:$I$1001,"",0,1)</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IF(_xlfn.XLOOKUP(C800,customers!$A$1:$A$1001,customers!$C$1:$C$1001,,0,1)=0,"",(_xlfn.XLOOKUP(C800,customers!$A$1:$A$1001,customers!$C$1:$C$1001,,0,1)))</f>
        <v>gruggenm6@nymag.com</v>
      </c>
      <c r="H800" s="2" t="str">
        <f>_xlfn.XLOOKUP(C800,customers!$A$1:$A$1001,customers!$G$1:$G$1001,,0,1)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6">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ID]],customers!$A$1:$A$1001,customers!$I$1:$I$1001,"",0,1)</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IF(_xlfn.XLOOKUP(C801,customers!$A$1:$A$1001,customers!$C$1:$C$1001,,0,1)=0,"",(_xlfn.XLOOKUP(C801,customers!$A$1:$A$1001,customers!$C$1:$C$1001,,0,1)))</f>
        <v/>
      </c>
      <c r="H801" s="2" t="str">
        <f>_xlfn.XLOOKUP(C801,customers!$A$1:$A$1001,customers!$G$1:$G$1001,,0,1)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6">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ID]],customers!$A$1:$A$1001,customers!$I$1:$I$1001,"",0,1)</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IF(_xlfn.XLOOKUP(C802,customers!$A$1:$A$1001,customers!$C$1:$C$1001,,0,1)=0,"",(_xlfn.XLOOKUP(C802,customers!$A$1:$A$1001,customers!$C$1:$C$1001,,0,1)))</f>
        <v>mfrightm8@harvard.edu</v>
      </c>
      <c r="H802" s="2" t="str">
        <f>_xlfn.XLOOKUP(C802,customers!$A$1:$A$1001,customers!$G$1:$G$1001,,0,1)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6">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ID]],customers!$A$1:$A$1001,customers!$I$1:$I$1001,"",0,1)</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IF(_xlfn.XLOOKUP(C803,customers!$A$1:$A$1001,customers!$C$1:$C$1001,,0,1)=0,"",(_xlfn.XLOOKUP(C803,customers!$A$1:$A$1001,customers!$C$1:$C$1001,,0,1)))</f>
        <v>btartem9@aol.com</v>
      </c>
      <c r="H803" s="2" t="str">
        <f>_xlfn.XLOOKUP(C803,customers!$A$1:$A$1001,customers!$G$1:$G$1001,,0,1)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6">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ID]],customers!$A$1:$A$1001,customers!$I$1:$I$1001,"",0,1)</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IF(_xlfn.XLOOKUP(C804,customers!$A$1:$A$1001,customers!$C$1:$C$1001,,0,1)=0,"",(_xlfn.XLOOKUP(C804,customers!$A$1:$A$1001,customers!$C$1:$C$1001,,0,1)))</f>
        <v>ckrzysztofiakma@skyrock.com</v>
      </c>
      <c r="H804" s="2" t="str">
        <f>_xlfn.XLOOKUP(C804,customers!$A$1:$A$1001,customers!$G$1:$G$1001,,0,1)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6">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ID]],customers!$A$1:$A$1001,customers!$I$1:$I$1001,"",0,1)</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IF(_xlfn.XLOOKUP(C805,customers!$A$1:$A$1001,customers!$C$1:$C$1001,,0,1)=0,"",(_xlfn.XLOOKUP(C805,customers!$A$1:$A$1001,customers!$C$1:$C$1001,,0,1)))</f>
        <v>dpenquetmb@diigo.com</v>
      </c>
      <c r="H805" s="2" t="str">
        <f>_xlfn.XLOOKUP(C805,customers!$A$1:$A$1001,customers!$G$1:$G$1001,,0,1)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6">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ID]],customers!$A$1:$A$1001,customers!$I$1:$I$1001,"",0,1)</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IF(_xlfn.XLOOKUP(C806,customers!$A$1:$A$1001,customers!$C$1:$C$1001,,0,1)=0,"",(_xlfn.XLOOKUP(C806,customers!$A$1:$A$1001,customers!$C$1:$C$1001,,0,1)))</f>
        <v/>
      </c>
      <c r="H806" s="2" t="str">
        <f>_xlfn.XLOOKUP(C806,customers!$A$1:$A$1001,customers!$G$1:$G$1001,,0,1)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6">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ID]],customers!$A$1:$A$1001,customers!$I$1:$I$1001,"",0,1)</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IF(_xlfn.XLOOKUP(C807,customers!$A$1:$A$1001,customers!$C$1:$C$1001,,0,1)=0,"",(_xlfn.XLOOKUP(C807,customers!$A$1:$A$1001,customers!$C$1:$C$1001,,0,1)))</f>
        <v/>
      </c>
      <c r="H807" s="2" t="str">
        <f>_xlfn.XLOOKUP(C807,customers!$A$1:$A$1001,customers!$G$1:$G$1001,,0,1)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6">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ID]],customers!$A$1:$A$1001,customers!$I$1:$I$1001,"",0,1)</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IF(_xlfn.XLOOKUP(C808,customers!$A$1:$A$1001,customers!$C$1:$C$1001,,0,1)=0,"",(_xlfn.XLOOKUP(C808,customers!$A$1:$A$1001,customers!$C$1:$C$1001,,0,1)))</f>
        <v/>
      </c>
      <c r="H808" s="2" t="str">
        <f>_xlfn.XLOOKUP(C808,customers!$A$1:$A$1001,customers!$G$1:$G$1001,,0,1)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6">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ID]],customers!$A$1:$A$1001,customers!$I$1:$I$1001,"",0,1)</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IF(_xlfn.XLOOKUP(C809,customers!$A$1:$A$1001,customers!$C$1:$C$1001,,0,1)=0,"",(_xlfn.XLOOKUP(C809,customers!$A$1:$A$1001,customers!$C$1:$C$1001,,0,1)))</f>
        <v>kferrettimf@huffingtonpost.com</v>
      </c>
      <c r="H809" s="2" t="str">
        <f>_xlfn.XLOOKUP(C809,customers!$A$1:$A$1001,customers!$G$1:$G$1001,,0,1)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6">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ID]],customers!$A$1:$A$1001,customers!$I$1:$I$1001,"",0,1)</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IF(_xlfn.XLOOKUP(C810,customers!$A$1:$A$1001,customers!$C$1:$C$1001,,0,1)=0,"",(_xlfn.XLOOKUP(C810,customers!$A$1:$A$1001,customers!$C$1:$C$1001,,0,1)))</f>
        <v/>
      </c>
      <c r="H810" s="2" t="str">
        <f>_xlfn.XLOOKUP(C810,customers!$A$1:$A$1001,customers!$G$1:$G$1001,,0,1)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6">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ID]],customers!$A$1:$A$1001,customers!$I$1:$I$1001,"",0,1)</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IF(_xlfn.XLOOKUP(C811,customers!$A$1:$A$1001,customers!$C$1:$C$1001,,0,1)=0,"",(_xlfn.XLOOKUP(C811,customers!$A$1:$A$1001,customers!$C$1:$C$1001,,0,1)))</f>
        <v/>
      </c>
      <c r="H811" s="2" t="str">
        <f>_xlfn.XLOOKUP(C811,customers!$A$1:$A$1001,customers!$G$1:$G$1001,,0,1)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6">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ID]],customers!$A$1:$A$1001,customers!$I$1:$I$1001,"",0,1)</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IF(_xlfn.XLOOKUP(C812,customers!$A$1:$A$1001,customers!$C$1:$C$1001,,0,1)=0,"",(_xlfn.XLOOKUP(C812,customers!$A$1:$A$1001,customers!$C$1:$C$1001,,0,1)))</f>
        <v>abalsdonemi@toplist.cz</v>
      </c>
      <c r="H812" s="2" t="str">
        <f>_xlfn.XLOOKUP(C812,customers!$A$1:$A$1001,customers!$G$1:$G$1001,,0,1)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6">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ID]],customers!$A$1:$A$1001,customers!$I$1:$I$1001,"",0,1)</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IF(_xlfn.XLOOKUP(C813,customers!$A$1:$A$1001,customers!$C$1:$C$1001,,0,1)=0,"",(_xlfn.XLOOKUP(C813,customers!$A$1:$A$1001,customers!$C$1:$C$1001,,0,1)))</f>
        <v>bromeramj@list-manage.com</v>
      </c>
      <c r="H813" s="2" t="str">
        <f>_xlfn.XLOOKUP(C813,customers!$A$1:$A$1001,customers!$G$1:$G$1001,,0,1)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6">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ID]],customers!$A$1:$A$1001,customers!$I$1:$I$1001,"",0,1)</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IF(_xlfn.XLOOKUP(C814,customers!$A$1:$A$1001,customers!$C$1:$C$1001,,0,1)=0,"",(_xlfn.XLOOKUP(C814,customers!$A$1:$A$1001,customers!$C$1:$C$1001,,0,1)))</f>
        <v>bromeramj@list-manage.com</v>
      </c>
      <c r="H814" s="2" t="str">
        <f>_xlfn.XLOOKUP(C814,customers!$A$1:$A$1001,customers!$G$1:$G$1001,,0,1)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6">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ID]],customers!$A$1:$A$1001,customers!$I$1:$I$1001,"",0,1)</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IF(_xlfn.XLOOKUP(C815,customers!$A$1:$A$1001,customers!$C$1:$C$1001,,0,1)=0,"",(_xlfn.XLOOKUP(C815,customers!$A$1:$A$1001,customers!$C$1:$C$1001,,0,1)))</f>
        <v>cbrydeml@tuttocitta.it</v>
      </c>
      <c r="H815" s="2" t="str">
        <f>_xlfn.XLOOKUP(C815,customers!$A$1:$A$1001,customers!$G$1:$G$1001,,0,1)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6">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ID]],customers!$A$1:$A$1001,customers!$I$1:$I$1001,"",0,1)</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IF(_xlfn.XLOOKUP(C816,customers!$A$1:$A$1001,customers!$C$1:$C$1001,,0,1)=0,"",(_xlfn.XLOOKUP(C816,customers!$A$1:$A$1001,customers!$C$1:$C$1001,,0,1)))</f>
        <v>senefermm@blog.com</v>
      </c>
      <c r="H816" s="2" t="str">
        <f>_xlfn.XLOOKUP(C816,customers!$A$1:$A$1001,customers!$G$1:$G$1001,,0,1)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6">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ID]],customers!$A$1:$A$1001,customers!$I$1:$I$1001,"",0,1)</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IF(_xlfn.XLOOKUP(C817,customers!$A$1:$A$1001,customers!$C$1:$C$1001,,0,1)=0,"",(_xlfn.XLOOKUP(C817,customers!$A$1:$A$1001,customers!$C$1:$C$1001,,0,1)))</f>
        <v>lhaggerstonemn@independent.co.uk</v>
      </c>
      <c r="H817" s="2" t="str">
        <f>_xlfn.XLOOKUP(C817,customers!$A$1:$A$1001,customers!$G$1:$G$1001,,0,1)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6">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ID]],customers!$A$1:$A$1001,customers!$I$1:$I$1001,"",0,1)</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IF(_xlfn.XLOOKUP(C818,customers!$A$1:$A$1001,customers!$C$1:$C$1001,,0,1)=0,"",(_xlfn.XLOOKUP(C818,customers!$A$1:$A$1001,customers!$C$1:$C$1001,,0,1)))</f>
        <v>mgundrymo@omniture.com</v>
      </c>
      <c r="H818" s="2" t="str">
        <f>_xlfn.XLOOKUP(C818,customers!$A$1:$A$1001,customers!$G$1:$G$1001,,0,1)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6">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ID]],customers!$A$1:$A$1001,customers!$I$1:$I$1001,"",0,1)</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IF(_xlfn.XLOOKUP(C819,customers!$A$1:$A$1001,customers!$C$1:$C$1001,,0,1)=0,"",(_xlfn.XLOOKUP(C819,customers!$A$1:$A$1001,customers!$C$1:$C$1001,,0,1)))</f>
        <v>bwellanmp@cafepress.com</v>
      </c>
      <c r="H819" s="2" t="str">
        <f>_xlfn.XLOOKUP(C819,customers!$A$1:$A$1001,customers!$G$1:$G$1001,,0,1)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6">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ID]],customers!$A$1:$A$1001,customers!$I$1:$I$1001,"",0,1)</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IF(_xlfn.XLOOKUP(C820,customers!$A$1:$A$1001,customers!$C$1:$C$1001,,0,1)=0,"",(_xlfn.XLOOKUP(C820,customers!$A$1:$A$1001,customers!$C$1:$C$1001,,0,1)))</f>
        <v/>
      </c>
      <c r="H820" s="2" t="str">
        <f>_xlfn.XLOOKUP(C820,customers!$A$1:$A$1001,customers!$G$1:$G$1001,,0,1)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6">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ID]],customers!$A$1:$A$1001,customers!$I$1:$I$1001,"",0,1)</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IF(_xlfn.XLOOKUP(C821,customers!$A$1:$A$1001,customers!$C$1:$C$1001,,0,1)=0,"",(_xlfn.XLOOKUP(C821,customers!$A$1:$A$1001,customers!$C$1:$C$1001,,0,1)))</f>
        <v>catchesonmr@xinhuanet.com</v>
      </c>
      <c r="H821" s="2" t="str">
        <f>_xlfn.XLOOKUP(C821,customers!$A$1:$A$1001,customers!$G$1:$G$1001,,0,1)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6">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ID]],customers!$A$1:$A$1001,customers!$I$1:$I$1001,"",0,1)</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IF(_xlfn.XLOOKUP(C822,customers!$A$1:$A$1001,customers!$C$1:$C$1001,,0,1)=0,"",(_xlfn.XLOOKUP(C822,customers!$A$1:$A$1001,customers!$C$1:$C$1001,,0,1)))</f>
        <v>estentonms@google.it</v>
      </c>
      <c r="H822" s="2" t="str">
        <f>_xlfn.XLOOKUP(C822,customers!$A$1:$A$1001,customers!$G$1:$G$1001,,0,1)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6">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ID]],customers!$A$1:$A$1001,customers!$I$1:$I$1001,"",0,1)</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IF(_xlfn.XLOOKUP(C823,customers!$A$1:$A$1001,customers!$C$1:$C$1001,,0,1)=0,"",(_xlfn.XLOOKUP(C823,customers!$A$1:$A$1001,customers!$C$1:$C$1001,,0,1)))</f>
        <v>etrippmt@wp.com</v>
      </c>
      <c r="H823" s="2" t="str">
        <f>_xlfn.XLOOKUP(C823,customers!$A$1:$A$1001,customers!$G$1:$G$1001,,0,1)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6">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ID]],customers!$A$1:$A$1001,customers!$I$1:$I$1001,"",0,1)</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IF(_xlfn.XLOOKUP(C824,customers!$A$1:$A$1001,customers!$C$1:$C$1001,,0,1)=0,"",(_xlfn.XLOOKUP(C824,customers!$A$1:$A$1001,customers!$C$1:$C$1001,,0,1)))</f>
        <v>lmacmanusmu@imdb.com</v>
      </c>
      <c r="H824" s="2" t="str">
        <f>_xlfn.XLOOKUP(C824,customers!$A$1:$A$1001,customers!$G$1:$G$1001,,0,1)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6">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ID]],customers!$A$1:$A$1001,customers!$I$1:$I$1001,"",0,1)</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IF(_xlfn.XLOOKUP(C825,customers!$A$1:$A$1001,customers!$C$1:$C$1001,,0,1)=0,"",(_xlfn.XLOOKUP(C825,customers!$A$1:$A$1001,customers!$C$1:$C$1001,,0,1)))</f>
        <v>tbenediktovichmv@ebay.com</v>
      </c>
      <c r="H825" s="2" t="str">
        <f>_xlfn.XLOOKUP(C825,customers!$A$1:$A$1001,customers!$G$1:$G$1001,,0,1)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6">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ID]],customers!$A$1:$A$1001,customers!$I$1:$I$1001,"",0,1)</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IF(_xlfn.XLOOKUP(C826,customers!$A$1:$A$1001,customers!$C$1:$C$1001,,0,1)=0,"",(_xlfn.XLOOKUP(C826,customers!$A$1:$A$1001,customers!$C$1:$C$1001,,0,1)))</f>
        <v>cbournermw@chronoengine.com</v>
      </c>
      <c r="H826" s="2" t="str">
        <f>_xlfn.XLOOKUP(C826,customers!$A$1:$A$1001,customers!$G$1:$G$1001,,0,1)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6">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ID]],customers!$A$1:$A$1001,customers!$I$1:$I$1001,"",0,1)</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IF(_xlfn.XLOOKUP(C827,customers!$A$1:$A$1001,customers!$C$1:$C$1001,,0,1)=0,"",(_xlfn.XLOOKUP(C827,customers!$A$1:$A$1001,customers!$C$1:$C$1001,,0,1)))</f>
        <v>oskermen3@hatena.ne.jp</v>
      </c>
      <c r="H827" s="2" t="str">
        <f>_xlfn.XLOOKUP(C827,customers!$A$1:$A$1001,customers!$G$1:$G$1001,,0,1)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6">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ID]],customers!$A$1:$A$1001,customers!$I$1:$I$1001,"",0,1)</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IF(_xlfn.XLOOKUP(C828,customers!$A$1:$A$1001,customers!$C$1:$C$1001,,0,1)=0,"",(_xlfn.XLOOKUP(C828,customers!$A$1:$A$1001,customers!$C$1:$C$1001,,0,1)))</f>
        <v>kheddanmy@icq.com</v>
      </c>
      <c r="H828" s="2" t="str">
        <f>_xlfn.XLOOKUP(C828,customers!$A$1:$A$1001,customers!$G$1:$G$1001,,0,1)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6">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ID]],customers!$A$1:$A$1001,customers!$I$1:$I$1001,"",0,1)</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IF(_xlfn.XLOOKUP(C829,customers!$A$1:$A$1001,customers!$C$1:$C$1001,,0,1)=0,"",(_xlfn.XLOOKUP(C829,customers!$A$1:$A$1001,customers!$C$1:$C$1001,,0,1)))</f>
        <v>ichartersmz@abc.net.au</v>
      </c>
      <c r="H829" s="2" t="str">
        <f>_xlfn.XLOOKUP(C829,customers!$A$1:$A$1001,customers!$G$1:$G$1001,,0,1)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6">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ID]],customers!$A$1:$A$1001,customers!$I$1:$I$1001,"",0,1)</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IF(_xlfn.XLOOKUP(C830,customers!$A$1:$A$1001,customers!$C$1:$C$1001,,0,1)=0,"",(_xlfn.XLOOKUP(C830,customers!$A$1:$A$1001,customers!$C$1:$C$1001,,0,1)))</f>
        <v>aroubertn0@tmall.com</v>
      </c>
      <c r="H830" s="2" t="str">
        <f>_xlfn.XLOOKUP(C830,customers!$A$1:$A$1001,customers!$G$1:$G$1001,,0,1)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6">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ID]],customers!$A$1:$A$1001,customers!$I$1:$I$1001,"",0,1)</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IF(_xlfn.XLOOKUP(C831,customers!$A$1:$A$1001,customers!$C$1:$C$1001,,0,1)=0,"",(_xlfn.XLOOKUP(C831,customers!$A$1:$A$1001,customers!$C$1:$C$1001,,0,1)))</f>
        <v>hmairsn1@so-net.ne.jp</v>
      </c>
      <c r="H831" s="2" t="str">
        <f>_xlfn.XLOOKUP(C831,customers!$A$1:$A$1001,customers!$G$1:$G$1001,,0,1)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6">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ID]],customers!$A$1:$A$1001,customers!$I$1:$I$1001,"",0,1)</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IF(_xlfn.XLOOKUP(C832,customers!$A$1:$A$1001,customers!$C$1:$C$1001,,0,1)=0,"",(_xlfn.XLOOKUP(C832,customers!$A$1:$A$1001,customers!$C$1:$C$1001,,0,1)))</f>
        <v>hrainforthn2@blog.com</v>
      </c>
      <c r="H832" s="2" t="str">
        <f>_xlfn.XLOOKUP(C832,customers!$A$1:$A$1001,customers!$G$1:$G$1001,,0,1)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6">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ID]],customers!$A$1:$A$1001,customers!$I$1:$I$1001,"",0,1)</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IF(_xlfn.XLOOKUP(C833,customers!$A$1:$A$1001,customers!$C$1:$C$1001,,0,1)=0,"",(_xlfn.XLOOKUP(C833,customers!$A$1:$A$1001,customers!$C$1:$C$1001,,0,1)))</f>
        <v>hrainforthn2@blog.com</v>
      </c>
      <c r="H833" s="2" t="str">
        <f>_xlfn.XLOOKUP(C833,customers!$A$1:$A$1001,customers!$G$1:$G$1001,,0,1)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6">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ID]],customers!$A$1:$A$1001,customers!$I$1:$I$1001,"",0,1)</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IF(_xlfn.XLOOKUP(C834,customers!$A$1:$A$1001,customers!$C$1:$C$1001,,0,1)=0,"",(_xlfn.XLOOKUP(C834,customers!$A$1:$A$1001,customers!$C$1:$C$1001,,0,1)))</f>
        <v>ijespern4@theglobeandmail.com</v>
      </c>
      <c r="H834" s="2" t="str">
        <f>_xlfn.XLOOKUP(C834,customers!$A$1:$A$1001,customers!$G$1:$G$1001,,0,1)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6">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ID]],customers!$A$1:$A$1001,customers!$I$1:$I$1001,"",0,1)</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IF(_xlfn.XLOOKUP(C835,customers!$A$1:$A$1001,customers!$C$1:$C$1001,,0,1)=0,"",(_xlfn.XLOOKUP(C835,customers!$A$1:$A$1001,customers!$C$1:$C$1001,,0,1)))</f>
        <v>ldwerryhousen5@gravatar.com</v>
      </c>
      <c r="H835" s="2" t="str">
        <f>_xlfn.XLOOKUP(C835,customers!$A$1:$A$1001,customers!$G$1:$G$1001,,0,1)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6">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ID]],customers!$A$1:$A$1001,customers!$I$1:$I$1001,"",0,1)</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IF(_xlfn.XLOOKUP(C836,customers!$A$1:$A$1001,customers!$C$1:$C$1001,,0,1)=0,"",(_xlfn.XLOOKUP(C836,customers!$A$1:$A$1001,customers!$C$1:$C$1001,,0,1)))</f>
        <v>nbroomern6@examiner.com</v>
      </c>
      <c r="H836" s="2" t="str">
        <f>_xlfn.XLOOKUP(C836,customers!$A$1:$A$1001,customers!$G$1:$G$1001,,0,1)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6">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ID]],customers!$A$1:$A$1001,customers!$I$1:$I$1001,"",0,1)</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IF(_xlfn.XLOOKUP(C837,customers!$A$1:$A$1001,customers!$C$1:$C$1001,,0,1)=0,"",(_xlfn.XLOOKUP(C837,customers!$A$1:$A$1001,customers!$C$1:$C$1001,,0,1)))</f>
        <v>kthoumassonn7@bloglovin.com</v>
      </c>
      <c r="H837" s="2" t="str">
        <f>_xlfn.XLOOKUP(C837,customers!$A$1:$A$1001,customers!$G$1:$G$1001,,0,1)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6">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ID]],customers!$A$1:$A$1001,customers!$I$1:$I$1001,"",0,1)</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IF(_xlfn.XLOOKUP(C838,customers!$A$1:$A$1001,customers!$C$1:$C$1001,,0,1)=0,"",(_xlfn.XLOOKUP(C838,customers!$A$1:$A$1001,customers!$C$1:$C$1001,,0,1)))</f>
        <v>fhabberghamn8@discovery.com</v>
      </c>
      <c r="H838" s="2" t="str">
        <f>_xlfn.XLOOKUP(C838,customers!$A$1:$A$1001,customers!$G$1:$G$1001,,0,1)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6">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ID]],customers!$A$1:$A$1001,customers!$I$1:$I$1001,"",0,1)</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IF(_xlfn.XLOOKUP(C839,customers!$A$1:$A$1001,customers!$C$1:$C$1001,,0,1)=0,"",(_xlfn.XLOOKUP(C839,customers!$A$1:$A$1001,customers!$C$1:$C$1001,,0,1)))</f>
        <v/>
      </c>
      <c r="H839" s="2" t="str">
        <f>_xlfn.XLOOKUP(C839,customers!$A$1:$A$1001,customers!$G$1:$G$1001,,0,1)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6">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ID]],customers!$A$1:$A$1001,customers!$I$1:$I$1001,"",0,1)</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IF(_xlfn.XLOOKUP(C840,customers!$A$1:$A$1001,customers!$C$1:$C$1001,,0,1)=0,"",(_xlfn.XLOOKUP(C840,customers!$A$1:$A$1001,customers!$C$1:$C$1001,,0,1)))</f>
        <v>ravrashinna@tamu.edu</v>
      </c>
      <c r="H840" s="2" t="str">
        <f>_xlfn.XLOOKUP(C840,customers!$A$1:$A$1001,customers!$G$1:$G$1001,,0,1)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6">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ID]],customers!$A$1:$A$1001,customers!$I$1:$I$1001,"",0,1)</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IF(_xlfn.XLOOKUP(C841,customers!$A$1:$A$1001,customers!$C$1:$C$1001,,0,1)=0,"",(_xlfn.XLOOKUP(C841,customers!$A$1:$A$1001,customers!$C$1:$C$1001,,0,1)))</f>
        <v>mdoidgenb@etsy.com</v>
      </c>
      <c r="H841" s="2" t="str">
        <f>_xlfn.XLOOKUP(C841,customers!$A$1:$A$1001,customers!$G$1:$G$1001,,0,1)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6">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ID]],customers!$A$1:$A$1001,customers!$I$1:$I$1001,"",0,1)</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IF(_xlfn.XLOOKUP(C842,customers!$A$1:$A$1001,customers!$C$1:$C$1001,,0,1)=0,"",(_xlfn.XLOOKUP(C842,customers!$A$1:$A$1001,customers!$C$1:$C$1001,,0,1)))</f>
        <v>jedinboronc@reverbnation.com</v>
      </c>
      <c r="H842" s="2" t="str">
        <f>_xlfn.XLOOKUP(C842,customers!$A$1:$A$1001,customers!$G$1:$G$1001,,0,1)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6">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ID]],customers!$A$1:$A$1001,customers!$I$1:$I$1001,"",0,1)</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IF(_xlfn.XLOOKUP(C843,customers!$A$1:$A$1001,customers!$C$1:$C$1001,,0,1)=0,"",(_xlfn.XLOOKUP(C843,customers!$A$1:$A$1001,customers!$C$1:$C$1001,,0,1)))</f>
        <v>ttewelsonnd@cdbaby.com</v>
      </c>
      <c r="H843" s="2" t="str">
        <f>_xlfn.XLOOKUP(C843,customers!$A$1:$A$1001,customers!$G$1:$G$1001,,0,1)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6">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ID]],customers!$A$1:$A$1001,customers!$I$1:$I$1001,"",0,1)</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IF(_xlfn.XLOOKUP(C844,customers!$A$1:$A$1001,customers!$C$1:$C$1001,,0,1)=0,"",(_xlfn.XLOOKUP(C844,customers!$A$1:$A$1001,customers!$C$1:$C$1001,,0,1)))</f>
        <v>oskermen3@hatena.ne.jp</v>
      </c>
      <c r="H844" s="2" t="str">
        <f>_xlfn.XLOOKUP(C844,customers!$A$1:$A$1001,customers!$G$1:$G$1001,,0,1)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6">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ID]],customers!$A$1:$A$1001,customers!$I$1:$I$1001,"",0,1)</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IF(_xlfn.XLOOKUP(C845,customers!$A$1:$A$1001,customers!$C$1:$C$1001,,0,1)=0,"",(_xlfn.XLOOKUP(C845,customers!$A$1:$A$1001,customers!$C$1:$C$1001,,0,1)))</f>
        <v>ddrewittnf@mapquest.com</v>
      </c>
      <c r="H845" s="2" t="str">
        <f>_xlfn.XLOOKUP(C845,customers!$A$1:$A$1001,customers!$G$1:$G$1001,,0,1)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6">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ID]],customers!$A$1:$A$1001,customers!$I$1:$I$1001,"",0,1)</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IF(_xlfn.XLOOKUP(C846,customers!$A$1:$A$1001,customers!$C$1:$C$1001,,0,1)=0,"",(_xlfn.XLOOKUP(C846,customers!$A$1:$A$1001,customers!$C$1:$C$1001,,0,1)))</f>
        <v>agladhillng@stanford.edu</v>
      </c>
      <c r="H846" s="2" t="str">
        <f>_xlfn.XLOOKUP(C846,customers!$A$1:$A$1001,customers!$G$1:$G$1001,,0,1)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6">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ID]],customers!$A$1:$A$1001,customers!$I$1:$I$1001,"",0,1)</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IF(_xlfn.XLOOKUP(C847,customers!$A$1:$A$1001,customers!$C$1:$C$1001,,0,1)=0,"",(_xlfn.XLOOKUP(C847,customers!$A$1:$A$1001,customers!$C$1:$C$1001,,0,1)))</f>
        <v>mlorineznh@whitehouse.gov</v>
      </c>
      <c r="H847" s="2" t="str">
        <f>_xlfn.XLOOKUP(C847,customers!$A$1:$A$1001,customers!$G$1:$G$1001,,0,1)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6">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ID]],customers!$A$1:$A$1001,customers!$I$1:$I$1001,"",0,1)</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IF(_xlfn.XLOOKUP(C848,customers!$A$1:$A$1001,customers!$C$1:$C$1001,,0,1)=0,"",(_xlfn.XLOOKUP(C848,customers!$A$1:$A$1001,customers!$C$1:$C$1001,,0,1)))</f>
        <v/>
      </c>
      <c r="H848" s="2" t="str">
        <f>_xlfn.XLOOKUP(C848,customers!$A$1:$A$1001,customers!$G$1:$G$1001,,0,1)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6">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ID]],customers!$A$1:$A$1001,customers!$I$1:$I$1001,"",0,1)</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IF(_xlfn.XLOOKUP(C849,customers!$A$1:$A$1001,customers!$C$1:$C$1001,,0,1)=0,"",(_xlfn.XLOOKUP(C849,customers!$A$1:$A$1001,customers!$C$1:$C$1001,,0,1)))</f>
        <v>mvannj@wikipedia.org</v>
      </c>
      <c r="H849" s="2" t="str">
        <f>_xlfn.XLOOKUP(C849,customers!$A$1:$A$1001,customers!$G$1:$G$1001,,0,1)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6">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ID]],customers!$A$1:$A$1001,customers!$I$1:$I$1001,"",0,1)</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IF(_xlfn.XLOOKUP(C850,customers!$A$1:$A$1001,customers!$C$1:$C$1001,,0,1)=0,"",(_xlfn.XLOOKUP(C850,customers!$A$1:$A$1001,customers!$C$1:$C$1001,,0,1)))</f>
        <v/>
      </c>
      <c r="H850" s="2" t="str">
        <f>_xlfn.XLOOKUP(C850,customers!$A$1:$A$1001,customers!$G$1:$G$1001,,0,1)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6">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ID]],customers!$A$1:$A$1001,customers!$I$1:$I$1001,"",0,1)</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IF(_xlfn.XLOOKUP(C851,customers!$A$1:$A$1001,customers!$C$1:$C$1001,,0,1)=0,"",(_xlfn.XLOOKUP(C851,customers!$A$1:$A$1001,customers!$C$1:$C$1001,,0,1)))</f>
        <v>jethelstonnl@creativecommons.org</v>
      </c>
      <c r="H851" s="2" t="str">
        <f>_xlfn.XLOOKUP(C851,customers!$A$1:$A$1001,customers!$G$1:$G$1001,,0,1)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6">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ID]],customers!$A$1:$A$1001,customers!$I$1:$I$1001,"",0,1)</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IF(_xlfn.XLOOKUP(C852,customers!$A$1:$A$1001,customers!$C$1:$C$1001,,0,1)=0,"",(_xlfn.XLOOKUP(C852,customers!$A$1:$A$1001,customers!$C$1:$C$1001,,0,1)))</f>
        <v>jethelstonnl@creativecommons.org</v>
      </c>
      <c r="H852" s="2" t="str">
        <f>_xlfn.XLOOKUP(C852,customers!$A$1:$A$1001,customers!$G$1:$G$1001,,0,1)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6">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ID]],customers!$A$1:$A$1001,customers!$I$1:$I$1001,"",0,1)</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IF(_xlfn.XLOOKUP(C853,customers!$A$1:$A$1001,customers!$C$1:$C$1001,,0,1)=0,"",(_xlfn.XLOOKUP(C853,customers!$A$1:$A$1001,customers!$C$1:$C$1001,,0,1)))</f>
        <v>peberznn@woothemes.com</v>
      </c>
      <c r="H853" s="2" t="str">
        <f>_xlfn.XLOOKUP(C853,customers!$A$1:$A$1001,customers!$G$1:$G$1001,,0,1)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6">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ID]],customers!$A$1:$A$1001,customers!$I$1:$I$1001,"",0,1)</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IF(_xlfn.XLOOKUP(C854,customers!$A$1:$A$1001,customers!$C$1:$C$1001,,0,1)=0,"",(_xlfn.XLOOKUP(C854,customers!$A$1:$A$1001,customers!$C$1:$C$1001,,0,1)))</f>
        <v>bgaishno@altervista.org</v>
      </c>
      <c r="H854" s="2" t="str">
        <f>_xlfn.XLOOKUP(C854,customers!$A$1:$A$1001,customers!$G$1:$G$1001,,0,1)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6">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ID]],customers!$A$1:$A$1001,customers!$I$1:$I$1001,"",0,1)</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IF(_xlfn.XLOOKUP(C855,customers!$A$1:$A$1001,customers!$C$1:$C$1001,,0,1)=0,"",(_xlfn.XLOOKUP(C855,customers!$A$1:$A$1001,customers!$C$1:$C$1001,,0,1)))</f>
        <v>ldantonnp@miitbeian.gov.cn</v>
      </c>
      <c r="H855" s="2" t="str">
        <f>_xlfn.XLOOKUP(C855,customers!$A$1:$A$1001,customers!$G$1:$G$1001,,0,1)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6">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ID]],customers!$A$1:$A$1001,customers!$I$1:$I$1001,"",0,1)</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IF(_xlfn.XLOOKUP(C856,customers!$A$1:$A$1001,customers!$C$1:$C$1001,,0,1)=0,"",(_xlfn.XLOOKUP(C856,customers!$A$1:$A$1001,customers!$C$1:$C$1001,,0,1)))</f>
        <v>smorrallnq@answers.com</v>
      </c>
      <c r="H856" s="2" t="str">
        <f>_xlfn.XLOOKUP(C856,customers!$A$1:$A$1001,customers!$G$1:$G$1001,,0,1)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6">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ID]],customers!$A$1:$A$1001,customers!$I$1:$I$1001,"",0,1)</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IF(_xlfn.XLOOKUP(C857,customers!$A$1:$A$1001,customers!$C$1:$C$1001,,0,1)=0,"",(_xlfn.XLOOKUP(C857,customers!$A$1:$A$1001,customers!$C$1:$C$1001,,0,1)))</f>
        <v>dcrownshawnr@photobucket.com</v>
      </c>
      <c r="H857" s="2" t="str">
        <f>_xlfn.XLOOKUP(C857,customers!$A$1:$A$1001,customers!$G$1:$G$1001,,0,1)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6">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ID]],customers!$A$1:$A$1001,customers!$I$1:$I$1001,"",0,1)</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IF(_xlfn.XLOOKUP(C858,customers!$A$1:$A$1001,customers!$C$1:$C$1001,,0,1)=0,"",(_xlfn.XLOOKUP(C858,customers!$A$1:$A$1001,customers!$C$1:$C$1001,,0,1)))</f>
        <v>oskermen3@hatena.ne.jp</v>
      </c>
      <c r="H858" s="2" t="str">
        <f>_xlfn.XLOOKUP(C858,customers!$A$1:$A$1001,customers!$G$1:$G$1001,,0,1)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6">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ID]],customers!$A$1:$A$1001,customers!$I$1:$I$1001,"",0,1)</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IF(_xlfn.XLOOKUP(C859,customers!$A$1:$A$1001,customers!$C$1:$C$1001,,0,1)=0,"",(_xlfn.XLOOKUP(C859,customers!$A$1:$A$1001,customers!$C$1:$C$1001,,0,1)))</f>
        <v>jreddochnt@sun.com</v>
      </c>
      <c r="H859" s="2" t="str">
        <f>_xlfn.XLOOKUP(C859,customers!$A$1:$A$1001,customers!$G$1:$G$1001,,0,1)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6">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ID]],customers!$A$1:$A$1001,customers!$I$1:$I$1001,"",0,1)</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IF(_xlfn.XLOOKUP(C860,customers!$A$1:$A$1001,customers!$C$1:$C$1001,,0,1)=0,"",(_xlfn.XLOOKUP(C860,customers!$A$1:$A$1001,customers!$C$1:$C$1001,,0,1)))</f>
        <v>stitleynu@whitehouse.gov</v>
      </c>
      <c r="H860" s="2" t="str">
        <f>_xlfn.XLOOKUP(C860,customers!$A$1:$A$1001,customers!$G$1:$G$1001,,0,1)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6">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ID]],customers!$A$1:$A$1001,customers!$I$1:$I$1001,"",0,1)</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IF(_xlfn.XLOOKUP(C861,customers!$A$1:$A$1001,customers!$C$1:$C$1001,,0,1)=0,"",(_xlfn.XLOOKUP(C861,customers!$A$1:$A$1001,customers!$C$1:$C$1001,,0,1)))</f>
        <v>rsimaonv@simplemachines.org</v>
      </c>
      <c r="H861" s="2" t="str">
        <f>_xlfn.XLOOKUP(C861,customers!$A$1:$A$1001,customers!$G$1:$G$1001,,0,1)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6">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ID]],customers!$A$1:$A$1001,customers!$I$1:$I$1001,"",0,1)</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IF(_xlfn.XLOOKUP(C862,customers!$A$1:$A$1001,customers!$C$1:$C$1001,,0,1)=0,"",(_xlfn.XLOOKUP(C862,customers!$A$1:$A$1001,customers!$C$1:$C$1001,,0,1)))</f>
        <v/>
      </c>
      <c r="H862" s="2" t="str">
        <f>_xlfn.XLOOKUP(C862,customers!$A$1:$A$1001,customers!$G$1:$G$1001,,0,1)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6">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ID]],customers!$A$1:$A$1001,customers!$I$1:$I$1001,"",0,1)</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IF(_xlfn.XLOOKUP(C863,customers!$A$1:$A$1001,customers!$C$1:$C$1001,,0,1)=0,"",(_xlfn.XLOOKUP(C863,customers!$A$1:$A$1001,customers!$C$1:$C$1001,,0,1)))</f>
        <v>nchisholmnx@example.com</v>
      </c>
      <c r="H863" s="2" t="str">
        <f>_xlfn.XLOOKUP(C863,customers!$A$1:$A$1001,customers!$G$1:$G$1001,,0,1)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6">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ID]],customers!$A$1:$A$1001,customers!$I$1:$I$1001,"",0,1)</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IF(_xlfn.XLOOKUP(C864,customers!$A$1:$A$1001,customers!$C$1:$C$1001,,0,1)=0,"",(_xlfn.XLOOKUP(C864,customers!$A$1:$A$1001,customers!$C$1:$C$1001,,0,1)))</f>
        <v>goatsny@live.com</v>
      </c>
      <c r="H864" s="2" t="str">
        <f>_xlfn.XLOOKUP(C864,customers!$A$1:$A$1001,customers!$G$1:$G$1001,,0,1)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6">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ID]],customers!$A$1:$A$1001,customers!$I$1:$I$1001,"",0,1)</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IF(_xlfn.XLOOKUP(C865,customers!$A$1:$A$1001,customers!$C$1:$C$1001,,0,1)=0,"",(_xlfn.XLOOKUP(C865,customers!$A$1:$A$1001,customers!$C$1:$C$1001,,0,1)))</f>
        <v>mbirkinnz@java.com</v>
      </c>
      <c r="H865" s="2" t="str">
        <f>_xlfn.XLOOKUP(C865,customers!$A$1:$A$1001,customers!$G$1:$G$1001,,0,1)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6">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ID]],customers!$A$1:$A$1001,customers!$I$1:$I$1001,"",0,1)</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IF(_xlfn.XLOOKUP(C866,customers!$A$1:$A$1001,customers!$C$1:$C$1001,,0,1)=0,"",(_xlfn.XLOOKUP(C866,customers!$A$1:$A$1001,customers!$C$1:$C$1001,,0,1)))</f>
        <v>rpysono0@constantcontact.com</v>
      </c>
      <c r="H866" s="2" t="str">
        <f>_xlfn.XLOOKUP(C866,customers!$A$1:$A$1001,customers!$G$1:$G$1001,,0,1)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6">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ID]],customers!$A$1:$A$1001,customers!$I$1:$I$1001,"",0,1)</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IF(_xlfn.XLOOKUP(C867,customers!$A$1:$A$1001,customers!$C$1:$C$1001,,0,1)=0,"",(_xlfn.XLOOKUP(C867,customers!$A$1:$A$1001,customers!$C$1:$C$1001,,0,1)))</f>
        <v>mmacconnechieo9@reuters.com</v>
      </c>
      <c r="H867" s="2" t="str">
        <f>_xlfn.XLOOKUP(C867,customers!$A$1:$A$1001,customers!$G$1:$G$1001,,0,1)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6">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ID]],customers!$A$1:$A$1001,customers!$I$1:$I$1001,"",0,1)</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IF(_xlfn.XLOOKUP(C868,customers!$A$1:$A$1001,customers!$C$1:$C$1001,,0,1)=0,"",(_xlfn.XLOOKUP(C868,customers!$A$1:$A$1001,customers!$C$1:$C$1001,,0,1)))</f>
        <v>rtreachero2@usa.gov</v>
      </c>
      <c r="H868" s="2" t="str">
        <f>_xlfn.XLOOKUP(C868,customers!$A$1:$A$1001,customers!$G$1:$G$1001,,0,1)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6">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ID]],customers!$A$1:$A$1001,customers!$I$1:$I$1001,"",0,1)</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IF(_xlfn.XLOOKUP(C869,customers!$A$1:$A$1001,customers!$C$1:$C$1001,,0,1)=0,"",(_xlfn.XLOOKUP(C869,customers!$A$1:$A$1001,customers!$C$1:$C$1001,,0,1)))</f>
        <v>bfattorinio3@quantcast.com</v>
      </c>
      <c r="H869" s="2" t="str">
        <f>_xlfn.XLOOKUP(C869,customers!$A$1:$A$1001,customers!$G$1:$G$1001,,0,1)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6">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ID]],customers!$A$1:$A$1001,customers!$I$1:$I$1001,"",0,1)</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IF(_xlfn.XLOOKUP(C870,customers!$A$1:$A$1001,customers!$C$1:$C$1001,,0,1)=0,"",(_xlfn.XLOOKUP(C870,customers!$A$1:$A$1001,customers!$C$1:$C$1001,,0,1)))</f>
        <v>mpalleskeo4@nyu.edu</v>
      </c>
      <c r="H870" s="2" t="str">
        <f>_xlfn.XLOOKUP(C870,customers!$A$1:$A$1001,customers!$G$1:$G$1001,,0,1)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6">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ID]],customers!$A$1:$A$1001,customers!$I$1:$I$1001,"",0,1)</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IF(_xlfn.XLOOKUP(C871,customers!$A$1:$A$1001,customers!$C$1:$C$1001,,0,1)=0,"",(_xlfn.XLOOKUP(C871,customers!$A$1:$A$1001,customers!$C$1:$C$1001,,0,1)))</f>
        <v/>
      </c>
      <c r="H871" s="2" t="str">
        <f>_xlfn.XLOOKUP(C871,customers!$A$1:$A$1001,customers!$G$1:$G$1001,,0,1)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6">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ID]],customers!$A$1:$A$1001,customers!$I$1:$I$1001,"",0,1)</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IF(_xlfn.XLOOKUP(C872,customers!$A$1:$A$1001,customers!$C$1:$C$1001,,0,1)=0,"",(_xlfn.XLOOKUP(C872,customers!$A$1:$A$1001,customers!$C$1:$C$1001,,0,1)))</f>
        <v>fantcliffeo6@amazon.co.jp</v>
      </c>
      <c r="H872" s="2" t="str">
        <f>_xlfn.XLOOKUP(C872,customers!$A$1:$A$1001,customers!$G$1:$G$1001,,0,1)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6">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ID]],customers!$A$1:$A$1001,customers!$I$1:$I$1001,"",0,1)</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IF(_xlfn.XLOOKUP(C873,customers!$A$1:$A$1001,customers!$C$1:$C$1001,,0,1)=0,"",(_xlfn.XLOOKUP(C873,customers!$A$1:$A$1001,customers!$C$1:$C$1001,,0,1)))</f>
        <v>pmatignono7@harvard.edu</v>
      </c>
      <c r="H873" s="2" t="str">
        <f>_xlfn.XLOOKUP(C873,customers!$A$1:$A$1001,customers!$G$1:$G$1001,,0,1)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6">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ID]],customers!$A$1:$A$1001,customers!$I$1:$I$1001,"",0,1)</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IF(_xlfn.XLOOKUP(C874,customers!$A$1:$A$1001,customers!$C$1:$C$1001,,0,1)=0,"",(_xlfn.XLOOKUP(C874,customers!$A$1:$A$1001,customers!$C$1:$C$1001,,0,1)))</f>
        <v>cweondo8@theglobeandmail.com</v>
      </c>
      <c r="H874" s="2" t="str">
        <f>_xlfn.XLOOKUP(C874,customers!$A$1:$A$1001,customers!$G$1:$G$1001,,0,1)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6">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ID]],customers!$A$1:$A$1001,customers!$I$1:$I$1001,"",0,1)</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IF(_xlfn.XLOOKUP(C875,customers!$A$1:$A$1001,customers!$C$1:$C$1001,,0,1)=0,"",(_xlfn.XLOOKUP(C875,customers!$A$1:$A$1001,customers!$C$1:$C$1001,,0,1)))</f>
        <v>mmacconnechieo9@reuters.com</v>
      </c>
      <c r="H875" s="2" t="str">
        <f>_xlfn.XLOOKUP(C875,customers!$A$1:$A$1001,customers!$G$1:$G$1001,,0,1)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6">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ID]],customers!$A$1:$A$1001,customers!$I$1:$I$1001,"",0,1)</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IF(_xlfn.XLOOKUP(C876,customers!$A$1:$A$1001,customers!$C$1:$C$1001,,0,1)=0,"",(_xlfn.XLOOKUP(C876,customers!$A$1:$A$1001,customers!$C$1:$C$1001,,0,1)))</f>
        <v>jskentelberyoa@paypal.com</v>
      </c>
      <c r="H876" s="2" t="str">
        <f>_xlfn.XLOOKUP(C876,customers!$A$1:$A$1001,customers!$G$1:$G$1001,,0,1)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6">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ID]],customers!$A$1:$A$1001,customers!$I$1:$I$1001,"",0,1)</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IF(_xlfn.XLOOKUP(C877,customers!$A$1:$A$1001,customers!$C$1:$C$1001,,0,1)=0,"",(_xlfn.XLOOKUP(C877,customers!$A$1:$A$1001,customers!$C$1:$C$1001,,0,1)))</f>
        <v>ocomberob@goo.gl</v>
      </c>
      <c r="H877" s="2" t="str">
        <f>_xlfn.XLOOKUP(C877,customers!$A$1:$A$1001,customers!$G$1:$G$1001,,0,1)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6">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ID]],customers!$A$1:$A$1001,customers!$I$1:$I$1001,"",0,1)</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IF(_xlfn.XLOOKUP(C878,customers!$A$1:$A$1001,customers!$C$1:$C$1001,,0,1)=0,"",(_xlfn.XLOOKUP(C878,customers!$A$1:$A$1001,customers!$C$1:$C$1001,,0,1)))</f>
        <v>ocomberob@goo.gl</v>
      </c>
      <c r="H878" s="2" t="str">
        <f>_xlfn.XLOOKUP(C878,customers!$A$1:$A$1001,customers!$G$1:$G$1001,,0,1)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6">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ID]],customers!$A$1:$A$1001,customers!$I$1:$I$1001,"",0,1)</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IF(_xlfn.XLOOKUP(C879,customers!$A$1:$A$1001,customers!$C$1:$C$1001,,0,1)=0,"",(_xlfn.XLOOKUP(C879,customers!$A$1:$A$1001,customers!$C$1:$C$1001,,0,1)))</f>
        <v>ztramelod@netlog.com</v>
      </c>
      <c r="H879" s="2" t="str">
        <f>_xlfn.XLOOKUP(C879,customers!$A$1:$A$1001,customers!$G$1:$G$1001,,0,1)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6">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ID]],customers!$A$1:$A$1001,customers!$I$1:$I$1001,"",0,1)</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IF(_xlfn.XLOOKUP(C880,customers!$A$1:$A$1001,customers!$C$1:$C$1001,,0,1)=0,"",(_xlfn.XLOOKUP(C880,customers!$A$1:$A$1001,customers!$C$1:$C$1001,,0,1)))</f>
        <v/>
      </c>
      <c r="H880" s="2" t="str">
        <f>_xlfn.XLOOKUP(C880,customers!$A$1:$A$1001,customers!$G$1:$G$1001,,0,1)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6">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ID]],customers!$A$1:$A$1001,customers!$I$1:$I$1001,"",0,1)</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IF(_xlfn.XLOOKUP(C881,customers!$A$1:$A$1001,customers!$C$1:$C$1001,,0,1)=0,"",(_xlfn.XLOOKUP(C881,customers!$A$1:$A$1001,customers!$C$1:$C$1001,,0,1)))</f>
        <v/>
      </c>
      <c r="H881" s="2" t="str">
        <f>_xlfn.XLOOKUP(C881,customers!$A$1:$A$1001,customers!$G$1:$G$1001,,0,1)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6">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ID]],customers!$A$1:$A$1001,customers!$I$1:$I$1001,"",0,1)</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IF(_xlfn.XLOOKUP(C882,customers!$A$1:$A$1001,customers!$C$1:$C$1001,,0,1)=0,"",(_xlfn.XLOOKUP(C882,customers!$A$1:$A$1001,customers!$C$1:$C$1001,,0,1)))</f>
        <v>chatfullog@ebay.com</v>
      </c>
      <c r="H882" s="2" t="str">
        <f>_xlfn.XLOOKUP(C882,customers!$A$1:$A$1001,customers!$G$1:$G$1001,,0,1)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6">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ID]],customers!$A$1:$A$1001,customers!$I$1:$I$1001,"",0,1)</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IF(_xlfn.XLOOKUP(C883,customers!$A$1:$A$1001,customers!$C$1:$C$1001,,0,1)=0,"",(_xlfn.XLOOKUP(C883,customers!$A$1:$A$1001,customers!$C$1:$C$1001,,0,1)))</f>
        <v/>
      </c>
      <c r="H883" s="2" t="str">
        <f>_xlfn.XLOOKUP(C883,customers!$A$1:$A$1001,customers!$G$1:$G$1001,,0,1)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6">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ID]],customers!$A$1:$A$1001,customers!$I$1:$I$1001,"",0,1)</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IF(_xlfn.XLOOKUP(C884,customers!$A$1:$A$1001,customers!$C$1:$C$1001,,0,1)=0,"",(_xlfn.XLOOKUP(C884,customers!$A$1:$A$1001,customers!$C$1:$C$1001,,0,1)))</f>
        <v>kmarrisonoq@dropbox.com</v>
      </c>
      <c r="H884" s="2" t="str">
        <f>_xlfn.XLOOKUP(C884,customers!$A$1:$A$1001,customers!$G$1:$G$1001,,0,1)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6">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ID]],customers!$A$1:$A$1001,customers!$I$1:$I$1001,"",0,1)</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IF(_xlfn.XLOOKUP(C885,customers!$A$1:$A$1001,customers!$C$1:$C$1001,,0,1)=0,"",(_xlfn.XLOOKUP(C885,customers!$A$1:$A$1001,customers!$C$1:$C$1001,,0,1)))</f>
        <v>lagnolooj@pinterest.com</v>
      </c>
      <c r="H885" s="2" t="str">
        <f>_xlfn.XLOOKUP(C885,customers!$A$1:$A$1001,customers!$G$1:$G$1001,,0,1)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6">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ID]],customers!$A$1:$A$1001,customers!$I$1:$I$1001,"",0,1)</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IF(_xlfn.XLOOKUP(C886,customers!$A$1:$A$1001,customers!$C$1:$C$1001,,0,1)=0,"",(_xlfn.XLOOKUP(C886,customers!$A$1:$A$1001,customers!$C$1:$C$1001,,0,1)))</f>
        <v>dkiddyok@fda.gov</v>
      </c>
      <c r="H886" s="2" t="str">
        <f>_xlfn.XLOOKUP(C886,customers!$A$1:$A$1001,customers!$G$1:$G$1001,,0,1)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6">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ID]],customers!$A$1:$A$1001,customers!$I$1:$I$1001,"",0,1)</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IF(_xlfn.XLOOKUP(C887,customers!$A$1:$A$1001,customers!$C$1:$C$1001,,0,1)=0,"",(_xlfn.XLOOKUP(C887,customers!$A$1:$A$1001,customers!$C$1:$C$1001,,0,1)))</f>
        <v>hpetroulisol@state.tx.us</v>
      </c>
      <c r="H887" s="2" t="str">
        <f>_xlfn.XLOOKUP(C887,customers!$A$1:$A$1001,customers!$G$1:$G$1001,,0,1)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6">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ID]],customers!$A$1:$A$1001,customers!$I$1:$I$1001,"",0,1)</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IF(_xlfn.XLOOKUP(C888,customers!$A$1:$A$1001,customers!$C$1:$C$1001,,0,1)=0,"",(_xlfn.XLOOKUP(C888,customers!$A$1:$A$1001,customers!$C$1:$C$1001,,0,1)))</f>
        <v>mschollom@taobao.com</v>
      </c>
      <c r="H888" s="2" t="str">
        <f>_xlfn.XLOOKUP(C888,customers!$A$1:$A$1001,customers!$G$1:$G$1001,,0,1)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6">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ID]],customers!$A$1:$A$1001,customers!$I$1:$I$1001,"",0,1)</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IF(_xlfn.XLOOKUP(C889,customers!$A$1:$A$1001,customers!$C$1:$C$1001,,0,1)=0,"",(_xlfn.XLOOKUP(C889,customers!$A$1:$A$1001,customers!$C$1:$C$1001,,0,1)))</f>
        <v>kfersonon@g.co</v>
      </c>
      <c r="H889" s="2" t="str">
        <f>_xlfn.XLOOKUP(C889,customers!$A$1:$A$1001,customers!$G$1:$G$1001,,0,1)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6">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ID]],customers!$A$1:$A$1001,customers!$I$1:$I$1001,"",0,1)</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IF(_xlfn.XLOOKUP(C890,customers!$A$1:$A$1001,customers!$C$1:$C$1001,,0,1)=0,"",(_xlfn.XLOOKUP(C890,customers!$A$1:$A$1001,customers!$C$1:$C$1001,,0,1)))</f>
        <v>bkellowayoo@omniture.com</v>
      </c>
      <c r="H890" s="2" t="str">
        <f>_xlfn.XLOOKUP(C890,customers!$A$1:$A$1001,customers!$G$1:$G$1001,,0,1)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6">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ID]],customers!$A$1:$A$1001,customers!$I$1:$I$1001,"",0,1)</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IF(_xlfn.XLOOKUP(C891,customers!$A$1:$A$1001,customers!$C$1:$C$1001,,0,1)=0,"",(_xlfn.XLOOKUP(C891,customers!$A$1:$A$1001,customers!$C$1:$C$1001,,0,1)))</f>
        <v>soliffeop@yellowbook.com</v>
      </c>
      <c r="H891" s="2" t="str">
        <f>_xlfn.XLOOKUP(C891,customers!$A$1:$A$1001,customers!$G$1:$G$1001,,0,1)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6">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ID]],customers!$A$1:$A$1001,customers!$I$1:$I$1001,"",0,1)</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IF(_xlfn.XLOOKUP(C892,customers!$A$1:$A$1001,customers!$C$1:$C$1001,,0,1)=0,"",(_xlfn.XLOOKUP(C892,customers!$A$1:$A$1001,customers!$C$1:$C$1001,,0,1)))</f>
        <v>kmarrisonoq@dropbox.com</v>
      </c>
      <c r="H892" s="2" t="str">
        <f>_xlfn.XLOOKUP(C892,customers!$A$1:$A$1001,customers!$G$1:$G$1001,,0,1)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6">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ID]],customers!$A$1:$A$1001,customers!$I$1:$I$1001,"",0,1)</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IF(_xlfn.XLOOKUP(C893,customers!$A$1:$A$1001,customers!$C$1:$C$1001,,0,1)=0,"",(_xlfn.XLOOKUP(C893,customers!$A$1:$A$1001,customers!$C$1:$C$1001,,0,1)))</f>
        <v>cdolohuntyor@dailymail.co.uk</v>
      </c>
      <c r="H893" s="2" t="str">
        <f>_xlfn.XLOOKUP(C893,customers!$A$1:$A$1001,customers!$G$1:$G$1001,,0,1)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6">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ID]],customers!$A$1:$A$1001,customers!$I$1:$I$1001,"",0,1)</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IF(_xlfn.XLOOKUP(C894,customers!$A$1:$A$1001,customers!$C$1:$C$1001,,0,1)=0,"",(_xlfn.XLOOKUP(C894,customers!$A$1:$A$1001,customers!$C$1:$C$1001,,0,1)))</f>
        <v>pvasilenkoos@addtoany.com</v>
      </c>
      <c r="H894" s="2" t="str">
        <f>_xlfn.XLOOKUP(C894,customers!$A$1:$A$1001,customers!$G$1:$G$1001,,0,1)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6">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ID]],customers!$A$1:$A$1001,customers!$I$1:$I$1001,"",0,1)</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IF(_xlfn.XLOOKUP(C895,customers!$A$1:$A$1001,customers!$C$1:$C$1001,,0,1)=0,"",(_xlfn.XLOOKUP(C895,customers!$A$1:$A$1001,customers!$C$1:$C$1001,,0,1)))</f>
        <v>rschankelborgot@ameblo.jp</v>
      </c>
      <c r="H895" s="2" t="str">
        <f>_xlfn.XLOOKUP(C895,customers!$A$1:$A$1001,customers!$G$1:$G$1001,,0,1)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6">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ID]],customers!$A$1:$A$1001,customers!$I$1:$I$1001,"",0,1)</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IF(_xlfn.XLOOKUP(C896,customers!$A$1:$A$1001,customers!$C$1:$C$1001,,0,1)=0,"",(_xlfn.XLOOKUP(C896,customers!$A$1:$A$1001,customers!$C$1:$C$1001,,0,1)))</f>
        <v/>
      </c>
      <c r="H896" s="2" t="str">
        <f>_xlfn.XLOOKUP(C896,customers!$A$1:$A$1001,customers!$G$1:$G$1001,,0,1)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6">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ID]],customers!$A$1:$A$1001,customers!$I$1:$I$1001,"",0,1)</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IF(_xlfn.XLOOKUP(C897,customers!$A$1:$A$1001,customers!$C$1:$C$1001,,0,1)=0,"",(_xlfn.XLOOKUP(C897,customers!$A$1:$A$1001,customers!$C$1:$C$1001,,0,1)))</f>
        <v/>
      </c>
      <c r="H897" s="2" t="str">
        <f>_xlfn.XLOOKUP(C897,customers!$A$1:$A$1001,customers!$G$1:$G$1001,,0,1)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6">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ID]],customers!$A$1:$A$1001,customers!$I$1:$I$1001,"",0,1)</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IF(_xlfn.XLOOKUP(C898,customers!$A$1:$A$1001,customers!$C$1:$C$1001,,0,1)=0,"",(_xlfn.XLOOKUP(C898,customers!$A$1:$A$1001,customers!$C$1:$C$1001,,0,1)))</f>
        <v>bcargenow@geocities.jp</v>
      </c>
      <c r="H898" s="2" t="str">
        <f>_xlfn.XLOOKUP(C898,customers!$A$1:$A$1001,customers!$G$1:$G$1001,,0,1)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6">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ID]],customers!$A$1:$A$1001,customers!$I$1:$I$1001,"",0,1)</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IF(_xlfn.XLOOKUP(C899,customers!$A$1:$A$1001,customers!$C$1:$C$1001,,0,1)=0,"",(_xlfn.XLOOKUP(C899,customers!$A$1:$A$1001,customers!$C$1:$C$1001,,0,1)))</f>
        <v>rsticklerox@printfriendly.com</v>
      </c>
      <c r="H899" s="2" t="str">
        <f>_xlfn.XLOOKUP(C899,customers!$A$1:$A$1001,customers!$G$1:$G$1001,,0,1)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6">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ID]],customers!$A$1:$A$1001,customers!$I$1:$I$1001,"",0,1)</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IF(_xlfn.XLOOKUP(C900,customers!$A$1:$A$1001,customers!$C$1:$C$1001,,0,1)=0,"",(_xlfn.XLOOKUP(C900,customers!$A$1:$A$1001,customers!$C$1:$C$1001,,0,1)))</f>
        <v/>
      </c>
      <c r="H900" s="2" t="str">
        <f>_xlfn.XLOOKUP(C900,customers!$A$1:$A$1001,customers!$G$1:$G$1001,,0,1)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6">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ID]],customers!$A$1:$A$1001,customers!$I$1:$I$1001,"",0,1)</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IF(_xlfn.XLOOKUP(C901,customers!$A$1:$A$1001,customers!$C$1:$C$1001,,0,1)=0,"",(_xlfn.XLOOKUP(C901,customers!$A$1:$A$1001,customers!$C$1:$C$1001,,0,1)))</f>
        <v/>
      </c>
      <c r="H901" s="2" t="str">
        <f>_xlfn.XLOOKUP(C901,customers!$A$1:$A$1001,customers!$G$1:$G$1001,,0,1)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6">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ID]],customers!$A$1:$A$1001,customers!$I$1:$I$1001,"",0,1)</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IF(_xlfn.XLOOKUP(C902,customers!$A$1:$A$1001,customers!$C$1:$C$1001,,0,1)=0,"",(_xlfn.XLOOKUP(C902,customers!$A$1:$A$1001,customers!$C$1:$C$1001,,0,1)))</f>
        <v/>
      </c>
      <c r="H902" s="2" t="str">
        <f>_xlfn.XLOOKUP(C902,customers!$A$1:$A$1001,customers!$G$1:$G$1001,,0,1)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6">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ID]],customers!$A$1:$A$1001,customers!$I$1:$I$1001,"",0,1)</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IF(_xlfn.XLOOKUP(C903,customers!$A$1:$A$1001,customers!$C$1:$C$1001,,0,1)=0,"",(_xlfn.XLOOKUP(C903,customers!$A$1:$A$1001,customers!$C$1:$C$1001,,0,1)))</f>
        <v>djevonp1@ibm.com</v>
      </c>
      <c r="H903" s="2" t="str">
        <f>_xlfn.XLOOKUP(C903,customers!$A$1:$A$1001,customers!$G$1:$G$1001,,0,1)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6">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ID]],customers!$A$1:$A$1001,customers!$I$1:$I$1001,"",0,1)</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IF(_xlfn.XLOOKUP(C904,customers!$A$1:$A$1001,customers!$C$1:$C$1001,,0,1)=0,"",(_xlfn.XLOOKUP(C904,customers!$A$1:$A$1001,customers!$C$1:$C$1001,,0,1)))</f>
        <v>hrannerp2@omniture.com</v>
      </c>
      <c r="H904" s="2" t="str">
        <f>_xlfn.XLOOKUP(C904,customers!$A$1:$A$1001,customers!$G$1:$G$1001,,0,1)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6">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ID]],customers!$A$1:$A$1001,customers!$I$1:$I$1001,"",0,1)</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IF(_xlfn.XLOOKUP(C905,customers!$A$1:$A$1001,customers!$C$1:$C$1001,,0,1)=0,"",(_xlfn.XLOOKUP(C905,customers!$A$1:$A$1001,customers!$C$1:$C$1001,,0,1)))</f>
        <v>bimriep3@addtoany.com</v>
      </c>
      <c r="H905" s="2" t="str">
        <f>_xlfn.XLOOKUP(C905,customers!$A$1:$A$1001,customers!$G$1:$G$1001,,0,1)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6">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ID]],customers!$A$1:$A$1001,customers!$I$1:$I$1001,"",0,1)</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IF(_xlfn.XLOOKUP(C906,customers!$A$1:$A$1001,customers!$C$1:$C$1001,,0,1)=0,"",(_xlfn.XLOOKUP(C906,customers!$A$1:$A$1001,customers!$C$1:$C$1001,,0,1)))</f>
        <v>dsopperp4@eventbrite.com</v>
      </c>
      <c r="H906" s="2" t="str">
        <f>_xlfn.XLOOKUP(C906,customers!$A$1:$A$1001,customers!$G$1:$G$1001,,0,1)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6">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ID]],customers!$A$1:$A$1001,customers!$I$1:$I$1001,"",0,1)</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IF(_xlfn.XLOOKUP(C907,customers!$A$1:$A$1001,customers!$C$1:$C$1001,,0,1)=0,"",(_xlfn.XLOOKUP(C907,customers!$A$1:$A$1001,customers!$C$1:$C$1001,,0,1)))</f>
        <v/>
      </c>
      <c r="H907" s="2" t="str">
        <f>_xlfn.XLOOKUP(C907,customers!$A$1:$A$1001,customers!$G$1:$G$1001,,0,1)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6">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ID]],customers!$A$1:$A$1001,customers!$I$1:$I$1001,"",0,1)</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IF(_xlfn.XLOOKUP(C908,customers!$A$1:$A$1001,customers!$C$1:$C$1001,,0,1)=0,"",(_xlfn.XLOOKUP(C908,customers!$A$1:$A$1001,customers!$C$1:$C$1001,,0,1)))</f>
        <v>lledgleyp6@de.vu</v>
      </c>
      <c r="H908" s="2" t="str">
        <f>_xlfn.XLOOKUP(C908,customers!$A$1:$A$1001,customers!$G$1:$G$1001,,0,1)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6">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ID]],customers!$A$1:$A$1001,customers!$I$1:$I$1001,"",0,1)</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IF(_xlfn.XLOOKUP(C909,customers!$A$1:$A$1001,customers!$C$1:$C$1001,,0,1)=0,"",(_xlfn.XLOOKUP(C909,customers!$A$1:$A$1001,customers!$C$1:$C$1001,,0,1)))</f>
        <v>tmenaryp7@phoca.cz</v>
      </c>
      <c r="H909" s="2" t="str">
        <f>_xlfn.XLOOKUP(C909,customers!$A$1:$A$1001,customers!$G$1:$G$1001,,0,1)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6">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ID]],customers!$A$1:$A$1001,customers!$I$1:$I$1001,"",0,1)</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IF(_xlfn.XLOOKUP(C910,customers!$A$1:$A$1001,customers!$C$1:$C$1001,,0,1)=0,"",(_xlfn.XLOOKUP(C910,customers!$A$1:$A$1001,customers!$C$1:$C$1001,,0,1)))</f>
        <v>gciccottip8@so-net.ne.jp</v>
      </c>
      <c r="H910" s="2" t="str">
        <f>_xlfn.XLOOKUP(C910,customers!$A$1:$A$1001,customers!$G$1:$G$1001,,0,1)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6">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ID]],customers!$A$1:$A$1001,customers!$I$1:$I$1001,"",0,1)</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IF(_xlfn.XLOOKUP(C911,customers!$A$1:$A$1001,customers!$C$1:$C$1001,,0,1)=0,"",(_xlfn.XLOOKUP(C911,customers!$A$1:$A$1001,customers!$C$1:$C$1001,,0,1)))</f>
        <v/>
      </c>
      <c r="H911" s="2" t="str">
        <f>_xlfn.XLOOKUP(C911,customers!$A$1:$A$1001,customers!$G$1:$G$1001,,0,1)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6">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ID]],customers!$A$1:$A$1001,customers!$I$1:$I$1001,"",0,1)</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IF(_xlfn.XLOOKUP(C912,customers!$A$1:$A$1001,customers!$C$1:$C$1001,,0,1)=0,"",(_xlfn.XLOOKUP(C912,customers!$A$1:$A$1001,customers!$C$1:$C$1001,,0,1)))</f>
        <v>wjallinpa@pcworld.com</v>
      </c>
      <c r="H912" s="2" t="str">
        <f>_xlfn.XLOOKUP(C912,customers!$A$1:$A$1001,customers!$G$1:$G$1001,,0,1)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6">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ID]],customers!$A$1:$A$1001,customers!$I$1:$I$1001,"",0,1)</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IF(_xlfn.XLOOKUP(C913,customers!$A$1:$A$1001,customers!$C$1:$C$1001,,0,1)=0,"",(_xlfn.XLOOKUP(C913,customers!$A$1:$A$1001,customers!$C$1:$C$1001,,0,1)))</f>
        <v>mbogeypb@thetimes.co.uk</v>
      </c>
      <c r="H913" s="2" t="str">
        <f>_xlfn.XLOOKUP(C913,customers!$A$1:$A$1001,customers!$G$1:$G$1001,,0,1)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6">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ID]],customers!$A$1:$A$1001,customers!$I$1:$I$1001,"",0,1)</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IF(_xlfn.XLOOKUP(C914,customers!$A$1:$A$1001,customers!$C$1:$C$1001,,0,1)=0,"",(_xlfn.XLOOKUP(C914,customers!$A$1:$A$1001,customers!$C$1:$C$1001,,0,1)))</f>
        <v/>
      </c>
      <c r="H914" s="2" t="str">
        <f>_xlfn.XLOOKUP(C914,customers!$A$1:$A$1001,customers!$G$1:$G$1001,,0,1)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6">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ID]],customers!$A$1:$A$1001,customers!$I$1:$I$1001,"",0,1)</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IF(_xlfn.XLOOKUP(C915,customers!$A$1:$A$1001,customers!$C$1:$C$1001,,0,1)=0,"",(_xlfn.XLOOKUP(C915,customers!$A$1:$A$1001,customers!$C$1:$C$1001,,0,1)))</f>
        <v>mcobbledickpd@ucsd.edu</v>
      </c>
      <c r="H915" s="2" t="str">
        <f>_xlfn.XLOOKUP(C915,customers!$A$1:$A$1001,customers!$G$1:$G$1001,,0,1)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6">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ID]],customers!$A$1:$A$1001,customers!$I$1:$I$1001,"",0,1)</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IF(_xlfn.XLOOKUP(C916,customers!$A$1:$A$1001,customers!$C$1:$C$1001,,0,1)=0,"",(_xlfn.XLOOKUP(C916,customers!$A$1:$A$1001,customers!$C$1:$C$1001,,0,1)))</f>
        <v>alewrype@whitehouse.gov</v>
      </c>
      <c r="H916" s="2" t="str">
        <f>_xlfn.XLOOKUP(C916,customers!$A$1:$A$1001,customers!$G$1:$G$1001,,0,1)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6">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ID]],customers!$A$1:$A$1001,customers!$I$1:$I$1001,"",0,1)</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IF(_xlfn.XLOOKUP(C917,customers!$A$1:$A$1001,customers!$C$1:$C$1001,,0,1)=0,"",(_xlfn.XLOOKUP(C917,customers!$A$1:$A$1001,customers!$C$1:$C$1001,,0,1)))</f>
        <v>ihesselpf@ox.ac.uk</v>
      </c>
      <c r="H917" s="2" t="str">
        <f>_xlfn.XLOOKUP(C917,customers!$A$1:$A$1001,customers!$G$1:$G$1001,,0,1)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6">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ID]],customers!$A$1:$A$1001,customers!$I$1:$I$1001,"",0,1)</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IF(_xlfn.XLOOKUP(C918,customers!$A$1:$A$1001,customers!$C$1:$C$1001,,0,1)=0,"",(_xlfn.XLOOKUP(C918,customers!$A$1:$A$1001,customers!$C$1:$C$1001,,0,1)))</f>
        <v/>
      </c>
      <c r="H918" s="2" t="str">
        <f>_xlfn.XLOOKUP(C918,customers!$A$1:$A$1001,customers!$G$1:$G$1001,,0,1)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6">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ID]],customers!$A$1:$A$1001,customers!$I$1:$I$1001,"",0,1)</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IF(_xlfn.XLOOKUP(C919,customers!$A$1:$A$1001,customers!$C$1:$C$1001,,0,1)=0,"",(_xlfn.XLOOKUP(C919,customers!$A$1:$A$1001,customers!$C$1:$C$1001,,0,1)))</f>
        <v>csorrellph@amazon.com</v>
      </c>
      <c r="H919" s="2" t="str">
        <f>_xlfn.XLOOKUP(C919,customers!$A$1:$A$1001,customers!$G$1:$G$1001,,0,1)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6">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ID]],customers!$A$1:$A$1001,customers!$I$1:$I$1001,"",0,1)</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IF(_xlfn.XLOOKUP(C920,customers!$A$1:$A$1001,customers!$C$1:$C$1001,,0,1)=0,"",(_xlfn.XLOOKUP(C920,customers!$A$1:$A$1001,customers!$C$1:$C$1001,,0,1)))</f>
        <v>csorrellph@amazon.com</v>
      </c>
      <c r="H920" s="2" t="str">
        <f>_xlfn.XLOOKUP(C920,customers!$A$1:$A$1001,customers!$G$1:$G$1001,,0,1)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6">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ID]],customers!$A$1:$A$1001,customers!$I$1:$I$1001,"",0,1)</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IF(_xlfn.XLOOKUP(C921,customers!$A$1:$A$1001,customers!$C$1:$C$1001,,0,1)=0,"",(_xlfn.XLOOKUP(C921,customers!$A$1:$A$1001,customers!$C$1:$C$1001,,0,1)))</f>
        <v>qheavysidepj@unc.edu</v>
      </c>
      <c r="H921" s="2" t="str">
        <f>_xlfn.XLOOKUP(C921,customers!$A$1:$A$1001,customers!$G$1:$G$1001,,0,1)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6">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ID]],customers!$A$1:$A$1001,customers!$I$1:$I$1001,"",0,1)</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IF(_xlfn.XLOOKUP(C922,customers!$A$1:$A$1001,customers!$C$1:$C$1001,,0,1)=0,"",(_xlfn.XLOOKUP(C922,customers!$A$1:$A$1001,customers!$C$1:$C$1001,,0,1)))</f>
        <v>hreuvenpk@whitehouse.gov</v>
      </c>
      <c r="H922" s="2" t="str">
        <f>_xlfn.XLOOKUP(C922,customers!$A$1:$A$1001,customers!$G$1:$G$1001,,0,1)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6">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ID]],customers!$A$1:$A$1001,customers!$I$1:$I$1001,"",0,1)</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IF(_xlfn.XLOOKUP(C923,customers!$A$1:$A$1001,customers!$C$1:$C$1001,,0,1)=0,"",(_xlfn.XLOOKUP(C923,customers!$A$1:$A$1001,customers!$C$1:$C$1001,,0,1)))</f>
        <v>mattwoolpl@nba.com</v>
      </c>
      <c r="H923" s="2" t="str">
        <f>_xlfn.XLOOKUP(C923,customers!$A$1:$A$1001,customers!$G$1:$G$1001,,0,1)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6">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ID]],customers!$A$1:$A$1001,customers!$I$1:$I$1001,"",0,1)</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IF(_xlfn.XLOOKUP(C924,customers!$A$1:$A$1001,customers!$C$1:$C$1001,,0,1)=0,"",(_xlfn.XLOOKUP(C924,customers!$A$1:$A$1001,customers!$C$1:$C$1001,,0,1)))</f>
        <v/>
      </c>
      <c r="H924" s="2" t="str">
        <f>_xlfn.XLOOKUP(C924,customers!$A$1:$A$1001,customers!$G$1:$G$1001,,0,1)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6">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ID]],customers!$A$1:$A$1001,customers!$I$1:$I$1001,"",0,1)</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IF(_xlfn.XLOOKUP(C925,customers!$A$1:$A$1001,customers!$C$1:$C$1001,,0,1)=0,"",(_xlfn.XLOOKUP(C925,customers!$A$1:$A$1001,customers!$C$1:$C$1001,,0,1)))</f>
        <v>gwynespn@dagondesign.com</v>
      </c>
      <c r="H925" s="2" t="str">
        <f>_xlfn.XLOOKUP(C925,customers!$A$1:$A$1001,customers!$G$1:$G$1001,,0,1)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6">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ID]],customers!$A$1:$A$1001,customers!$I$1:$I$1001,"",0,1)</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IF(_xlfn.XLOOKUP(C926,customers!$A$1:$A$1001,customers!$C$1:$C$1001,,0,1)=0,"",(_xlfn.XLOOKUP(C926,customers!$A$1:$A$1001,customers!$C$1:$C$1001,,0,1)))</f>
        <v>cmaccourtpo@amazon.com</v>
      </c>
      <c r="H926" s="2" t="str">
        <f>_xlfn.XLOOKUP(C926,customers!$A$1:$A$1001,customers!$G$1:$G$1001,,0,1)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6">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ID]],customers!$A$1:$A$1001,customers!$I$1:$I$1001,"",0,1)</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IF(_xlfn.XLOOKUP(C927,customers!$A$1:$A$1001,customers!$C$1:$C$1001,,0,1)=0,"",(_xlfn.XLOOKUP(C927,customers!$A$1:$A$1001,customers!$C$1:$C$1001,,0,1)))</f>
        <v/>
      </c>
      <c r="H927" s="2" t="str">
        <f>_xlfn.XLOOKUP(C927,customers!$A$1:$A$1001,customers!$G$1:$G$1001,,0,1)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6">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ID]],customers!$A$1:$A$1001,customers!$I$1:$I$1001,"",0,1)</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IF(_xlfn.XLOOKUP(C928,customers!$A$1:$A$1001,customers!$C$1:$C$1001,,0,1)=0,"",(_xlfn.XLOOKUP(C928,customers!$A$1:$A$1001,customers!$C$1:$C$1001,,0,1)))</f>
        <v>ewilsonepq@eepurl.com</v>
      </c>
      <c r="H928" s="2" t="str">
        <f>_xlfn.XLOOKUP(C928,customers!$A$1:$A$1001,customers!$G$1:$G$1001,,0,1)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6">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ID]],customers!$A$1:$A$1001,customers!$I$1:$I$1001,"",0,1)</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IF(_xlfn.XLOOKUP(C929,customers!$A$1:$A$1001,customers!$C$1:$C$1001,,0,1)=0,"",(_xlfn.XLOOKUP(C929,customers!$A$1:$A$1001,customers!$C$1:$C$1001,,0,1)))</f>
        <v>dduffiepr@time.com</v>
      </c>
      <c r="H929" s="2" t="str">
        <f>_xlfn.XLOOKUP(C929,customers!$A$1:$A$1001,customers!$G$1:$G$1001,,0,1)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6">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ID]],customers!$A$1:$A$1001,customers!$I$1:$I$1001,"",0,1)</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IF(_xlfn.XLOOKUP(C930,customers!$A$1:$A$1001,customers!$C$1:$C$1001,,0,1)=0,"",(_xlfn.XLOOKUP(C930,customers!$A$1:$A$1001,customers!$C$1:$C$1001,,0,1)))</f>
        <v>mmatiasekps@ucoz.ru</v>
      </c>
      <c r="H930" s="2" t="str">
        <f>_xlfn.XLOOKUP(C930,customers!$A$1:$A$1001,customers!$G$1:$G$1001,,0,1)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6">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ID]],customers!$A$1:$A$1001,customers!$I$1:$I$1001,"",0,1)</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IF(_xlfn.XLOOKUP(C931,customers!$A$1:$A$1001,customers!$C$1:$C$1001,,0,1)=0,"",(_xlfn.XLOOKUP(C931,customers!$A$1:$A$1001,customers!$C$1:$C$1001,,0,1)))</f>
        <v>jcamillopt@shinystat.com</v>
      </c>
      <c r="H931" s="2" t="str">
        <f>_xlfn.XLOOKUP(C931,customers!$A$1:$A$1001,customers!$G$1:$G$1001,,0,1)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6">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ID]],customers!$A$1:$A$1001,customers!$I$1:$I$1001,"",0,1)</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IF(_xlfn.XLOOKUP(C932,customers!$A$1:$A$1001,customers!$C$1:$C$1001,,0,1)=0,"",(_xlfn.XLOOKUP(C932,customers!$A$1:$A$1001,customers!$C$1:$C$1001,,0,1)))</f>
        <v>kphilbrickpu@cdc.gov</v>
      </c>
      <c r="H932" s="2" t="str">
        <f>_xlfn.XLOOKUP(C932,customers!$A$1:$A$1001,customers!$G$1:$G$1001,,0,1)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6">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ID]],customers!$A$1:$A$1001,customers!$I$1:$I$1001,"",0,1)</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IF(_xlfn.XLOOKUP(C933,customers!$A$1:$A$1001,customers!$C$1:$C$1001,,0,1)=0,"",(_xlfn.XLOOKUP(C933,customers!$A$1:$A$1001,customers!$C$1:$C$1001,,0,1)))</f>
        <v/>
      </c>
      <c r="H933" s="2" t="str">
        <f>_xlfn.XLOOKUP(C933,customers!$A$1:$A$1001,customers!$G$1:$G$1001,,0,1)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6">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ID]],customers!$A$1:$A$1001,customers!$I$1:$I$1001,"",0,1)</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IF(_xlfn.XLOOKUP(C934,customers!$A$1:$A$1001,customers!$C$1:$C$1001,,0,1)=0,"",(_xlfn.XLOOKUP(C934,customers!$A$1:$A$1001,customers!$C$1:$C$1001,,0,1)))</f>
        <v>bsillispw@istockphoto.com</v>
      </c>
      <c r="H934" s="2" t="str">
        <f>_xlfn.XLOOKUP(C934,customers!$A$1:$A$1001,customers!$G$1:$G$1001,,0,1)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6">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ID]],customers!$A$1:$A$1001,customers!$I$1:$I$1001,"",0,1)</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IF(_xlfn.XLOOKUP(C935,customers!$A$1:$A$1001,customers!$C$1:$C$1001,,0,1)=0,"",(_xlfn.XLOOKUP(C935,customers!$A$1:$A$1001,customers!$C$1:$C$1001,,0,1)))</f>
        <v/>
      </c>
      <c r="H935" s="2" t="str">
        <f>_xlfn.XLOOKUP(C935,customers!$A$1:$A$1001,customers!$G$1:$G$1001,,0,1)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6">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ID]],customers!$A$1:$A$1001,customers!$I$1:$I$1001,"",0,1)</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IF(_xlfn.XLOOKUP(C936,customers!$A$1:$A$1001,customers!$C$1:$C$1001,,0,1)=0,"",(_xlfn.XLOOKUP(C936,customers!$A$1:$A$1001,customers!$C$1:$C$1001,,0,1)))</f>
        <v>rcuttspy@techcrunch.com</v>
      </c>
      <c r="H936" s="2" t="str">
        <f>_xlfn.XLOOKUP(C936,customers!$A$1:$A$1001,customers!$G$1:$G$1001,,0,1)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6">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ID]],customers!$A$1:$A$1001,customers!$I$1:$I$1001,"",0,1)</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IF(_xlfn.XLOOKUP(C937,customers!$A$1:$A$1001,customers!$C$1:$C$1001,,0,1)=0,"",(_xlfn.XLOOKUP(C937,customers!$A$1:$A$1001,customers!$C$1:$C$1001,,0,1)))</f>
        <v>mdelvespz@nature.com</v>
      </c>
      <c r="H937" s="2" t="str">
        <f>_xlfn.XLOOKUP(C937,customers!$A$1:$A$1001,customers!$G$1:$G$1001,,0,1)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6">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ID]],customers!$A$1:$A$1001,customers!$I$1:$I$1001,"",0,1)</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IF(_xlfn.XLOOKUP(C938,customers!$A$1:$A$1001,customers!$C$1:$C$1001,,0,1)=0,"",(_xlfn.XLOOKUP(C938,customers!$A$1:$A$1001,customers!$C$1:$C$1001,,0,1)))</f>
        <v>dgrittonq0@nydailynews.com</v>
      </c>
      <c r="H938" s="2" t="str">
        <f>_xlfn.XLOOKUP(C938,customers!$A$1:$A$1001,customers!$G$1:$G$1001,,0,1)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6">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ID]],customers!$A$1:$A$1001,customers!$I$1:$I$1001,"",0,1)</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IF(_xlfn.XLOOKUP(C939,customers!$A$1:$A$1001,customers!$C$1:$C$1001,,0,1)=0,"",(_xlfn.XLOOKUP(C939,customers!$A$1:$A$1001,customers!$C$1:$C$1001,,0,1)))</f>
        <v>dgrittonq0@nydailynews.com</v>
      </c>
      <c r="H939" s="2" t="str">
        <f>_xlfn.XLOOKUP(C939,customers!$A$1:$A$1001,customers!$G$1:$G$1001,,0,1)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6">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ID]],customers!$A$1:$A$1001,customers!$I$1:$I$1001,"",0,1)</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IF(_xlfn.XLOOKUP(C940,customers!$A$1:$A$1001,customers!$C$1:$C$1001,,0,1)=0,"",(_xlfn.XLOOKUP(C940,customers!$A$1:$A$1001,customers!$C$1:$C$1001,,0,1)))</f>
        <v>dgutq2@umich.edu</v>
      </c>
      <c r="H940" s="2" t="str">
        <f>_xlfn.XLOOKUP(C940,customers!$A$1:$A$1001,customers!$G$1:$G$1001,,0,1)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6">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ID]],customers!$A$1:$A$1001,customers!$I$1:$I$1001,"",0,1)</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IF(_xlfn.XLOOKUP(C941,customers!$A$1:$A$1001,customers!$C$1:$C$1001,,0,1)=0,"",(_xlfn.XLOOKUP(C941,customers!$A$1:$A$1001,customers!$C$1:$C$1001,,0,1)))</f>
        <v>wpummeryq3@topsy.com</v>
      </c>
      <c r="H941" s="2" t="str">
        <f>_xlfn.XLOOKUP(C941,customers!$A$1:$A$1001,customers!$G$1:$G$1001,,0,1)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6">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ID]],customers!$A$1:$A$1001,customers!$I$1:$I$1001,"",0,1)</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IF(_xlfn.XLOOKUP(C942,customers!$A$1:$A$1001,customers!$C$1:$C$1001,,0,1)=0,"",(_xlfn.XLOOKUP(C942,customers!$A$1:$A$1001,customers!$C$1:$C$1001,,0,1)))</f>
        <v>gsiudaq4@nytimes.com</v>
      </c>
      <c r="H942" s="2" t="str">
        <f>_xlfn.XLOOKUP(C942,customers!$A$1:$A$1001,customers!$G$1:$G$1001,,0,1)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6">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ID]],customers!$A$1:$A$1001,customers!$I$1:$I$1001,"",0,1)</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IF(_xlfn.XLOOKUP(C943,customers!$A$1:$A$1001,customers!$C$1:$C$1001,,0,1)=0,"",(_xlfn.XLOOKUP(C943,customers!$A$1:$A$1001,customers!$C$1:$C$1001,,0,1)))</f>
        <v>hcrowneq5@wufoo.com</v>
      </c>
      <c r="H943" s="2" t="str">
        <f>_xlfn.XLOOKUP(C943,customers!$A$1:$A$1001,customers!$G$1:$G$1001,,0,1)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6">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ID]],customers!$A$1:$A$1001,customers!$I$1:$I$1001,"",0,1)</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IF(_xlfn.XLOOKUP(C944,customers!$A$1:$A$1001,customers!$C$1:$C$1001,,0,1)=0,"",(_xlfn.XLOOKUP(C944,customers!$A$1:$A$1001,customers!$C$1:$C$1001,,0,1)))</f>
        <v>vpawseyq6@tiny.cc</v>
      </c>
      <c r="H944" s="2" t="str">
        <f>_xlfn.XLOOKUP(C944,customers!$A$1:$A$1001,customers!$G$1:$G$1001,,0,1)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6">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ID]],customers!$A$1:$A$1001,customers!$I$1:$I$1001,"",0,1)</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IF(_xlfn.XLOOKUP(C945,customers!$A$1:$A$1001,customers!$C$1:$C$1001,,0,1)=0,"",(_xlfn.XLOOKUP(C945,customers!$A$1:$A$1001,customers!$C$1:$C$1001,,0,1)))</f>
        <v>awaterhouseq7@istockphoto.com</v>
      </c>
      <c r="H945" s="2" t="str">
        <f>_xlfn.XLOOKUP(C945,customers!$A$1:$A$1001,customers!$G$1:$G$1001,,0,1)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6">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ID]],customers!$A$1:$A$1001,customers!$I$1:$I$1001,"",0,1)</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IF(_xlfn.XLOOKUP(C946,customers!$A$1:$A$1001,customers!$C$1:$C$1001,,0,1)=0,"",(_xlfn.XLOOKUP(C946,customers!$A$1:$A$1001,customers!$C$1:$C$1001,,0,1)))</f>
        <v>fhaughianq8@1688.com</v>
      </c>
      <c r="H946" s="2" t="str">
        <f>_xlfn.XLOOKUP(C946,customers!$A$1:$A$1001,customers!$G$1:$G$1001,,0,1)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6">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ID]],customers!$A$1:$A$1001,customers!$I$1:$I$1001,"",0,1)</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IF(_xlfn.XLOOKUP(C947,customers!$A$1:$A$1001,customers!$C$1:$C$1001,,0,1)=0,"",(_xlfn.XLOOKUP(C947,customers!$A$1:$A$1001,customers!$C$1:$C$1001,,0,1)))</f>
        <v/>
      </c>
      <c r="H947" s="2" t="str">
        <f>_xlfn.XLOOKUP(C947,customers!$A$1:$A$1001,customers!$G$1:$G$1001,,0,1)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6">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ID]],customers!$A$1:$A$1001,customers!$I$1:$I$1001,"",0,1)</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IF(_xlfn.XLOOKUP(C948,customers!$A$1:$A$1001,customers!$C$1:$C$1001,,0,1)=0,"",(_xlfn.XLOOKUP(C948,customers!$A$1:$A$1001,customers!$C$1:$C$1001,,0,1)))</f>
        <v/>
      </c>
      <c r="H948" s="2" t="str">
        <f>_xlfn.XLOOKUP(C948,customers!$A$1:$A$1001,customers!$G$1:$G$1001,,0,1)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6">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ID]],customers!$A$1:$A$1001,customers!$I$1:$I$1001,"",0,1)</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IF(_xlfn.XLOOKUP(C949,customers!$A$1:$A$1001,customers!$C$1:$C$1001,,0,1)=0,"",(_xlfn.XLOOKUP(C949,customers!$A$1:$A$1001,customers!$C$1:$C$1001,,0,1)))</f>
        <v>rfaltinqb@topsy.com</v>
      </c>
      <c r="H949" s="2" t="str">
        <f>_xlfn.XLOOKUP(C949,customers!$A$1:$A$1001,customers!$G$1:$G$1001,,0,1)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6">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ID]],customers!$A$1:$A$1001,customers!$I$1:$I$1001,"",0,1)</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IF(_xlfn.XLOOKUP(C950,customers!$A$1:$A$1001,customers!$C$1:$C$1001,,0,1)=0,"",(_xlfn.XLOOKUP(C950,customers!$A$1:$A$1001,customers!$C$1:$C$1001,,0,1)))</f>
        <v>gcheekeqc@sitemeter.com</v>
      </c>
      <c r="H950" s="2" t="str">
        <f>_xlfn.XLOOKUP(C950,customers!$A$1:$A$1001,customers!$G$1:$G$1001,,0,1)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6">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ID]],customers!$A$1:$A$1001,customers!$I$1:$I$1001,"",0,1)</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IF(_xlfn.XLOOKUP(C951,customers!$A$1:$A$1001,customers!$C$1:$C$1001,,0,1)=0,"",(_xlfn.XLOOKUP(C951,customers!$A$1:$A$1001,customers!$C$1:$C$1001,,0,1)))</f>
        <v>grattqd@phpbb.com</v>
      </c>
      <c r="H951" s="2" t="str">
        <f>_xlfn.XLOOKUP(C951,customers!$A$1:$A$1001,customers!$G$1:$G$1001,,0,1)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6">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ID]],customers!$A$1:$A$1001,customers!$I$1:$I$1001,"",0,1)</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IF(_xlfn.XLOOKUP(C952,customers!$A$1:$A$1001,customers!$C$1:$C$1001,,0,1)=0,"",(_xlfn.XLOOKUP(C952,customers!$A$1:$A$1001,customers!$C$1:$C$1001,,0,1)))</f>
        <v/>
      </c>
      <c r="H952" s="2" t="str">
        <f>_xlfn.XLOOKUP(C952,customers!$A$1:$A$1001,customers!$G$1:$G$1001,,0,1)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6">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ID]],customers!$A$1:$A$1001,customers!$I$1:$I$1001,"",0,1)</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IF(_xlfn.XLOOKUP(C953,customers!$A$1:$A$1001,customers!$C$1:$C$1001,,0,1)=0,"",(_xlfn.XLOOKUP(C953,customers!$A$1:$A$1001,customers!$C$1:$C$1001,,0,1)))</f>
        <v>ieberleinqf@hc360.com</v>
      </c>
      <c r="H953" s="2" t="str">
        <f>_xlfn.XLOOKUP(C953,customers!$A$1:$A$1001,customers!$G$1:$G$1001,,0,1)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6">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ID]],customers!$A$1:$A$1001,customers!$I$1:$I$1001,"",0,1)</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IF(_xlfn.XLOOKUP(C954,customers!$A$1:$A$1001,customers!$C$1:$C$1001,,0,1)=0,"",(_xlfn.XLOOKUP(C954,customers!$A$1:$A$1001,customers!$C$1:$C$1001,,0,1)))</f>
        <v>jdrengqg@uiuc.edu</v>
      </c>
      <c r="H954" s="2" t="str">
        <f>_xlfn.XLOOKUP(C954,customers!$A$1:$A$1001,customers!$G$1:$G$1001,,0,1)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6">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ID]],customers!$A$1:$A$1001,customers!$I$1:$I$1001,"",0,1)</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IF(_xlfn.XLOOKUP(C955,customers!$A$1:$A$1001,customers!$C$1:$C$1001,,0,1)=0,"",(_xlfn.XLOOKUP(C955,customers!$A$1:$A$1001,customers!$C$1:$C$1001,,0,1)))</f>
        <v/>
      </c>
      <c r="H955" s="2" t="str">
        <f>_xlfn.XLOOKUP(C955,customers!$A$1:$A$1001,customers!$G$1:$G$1001,,0,1)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6">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ID]],customers!$A$1:$A$1001,customers!$I$1:$I$1001,"",0,1)</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IF(_xlfn.XLOOKUP(C956,customers!$A$1:$A$1001,customers!$C$1:$C$1001,,0,1)=0,"",(_xlfn.XLOOKUP(C956,customers!$A$1:$A$1001,customers!$C$1:$C$1001,,0,1)))</f>
        <v/>
      </c>
      <c r="H956" s="2" t="str">
        <f>_xlfn.XLOOKUP(C956,customers!$A$1:$A$1001,customers!$G$1:$G$1001,,0,1)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6">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ID]],customers!$A$1:$A$1001,customers!$I$1:$I$1001,"",0,1)</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IF(_xlfn.XLOOKUP(C957,customers!$A$1:$A$1001,customers!$C$1:$C$1001,,0,1)=0,"",(_xlfn.XLOOKUP(C957,customers!$A$1:$A$1001,customers!$C$1:$C$1001,,0,1)))</f>
        <v/>
      </c>
      <c r="H957" s="2" t="str">
        <f>_xlfn.XLOOKUP(C957,customers!$A$1:$A$1001,customers!$G$1:$G$1001,,0,1)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6">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ID]],customers!$A$1:$A$1001,customers!$I$1:$I$1001,"",0,1)</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IF(_xlfn.XLOOKUP(C958,customers!$A$1:$A$1001,customers!$C$1:$C$1001,,0,1)=0,"",(_xlfn.XLOOKUP(C958,customers!$A$1:$A$1001,customers!$C$1:$C$1001,,0,1)))</f>
        <v/>
      </c>
      <c r="H958" s="2" t="str">
        <f>_xlfn.XLOOKUP(C958,customers!$A$1:$A$1001,customers!$G$1:$G$1001,,0,1)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6">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ID]],customers!$A$1:$A$1001,customers!$I$1:$I$1001,"",0,1)</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IF(_xlfn.XLOOKUP(C959,customers!$A$1:$A$1001,customers!$C$1:$C$1001,,0,1)=0,"",(_xlfn.XLOOKUP(C959,customers!$A$1:$A$1001,customers!$C$1:$C$1001,,0,1)))</f>
        <v/>
      </c>
      <c r="H959" s="2" t="str">
        <f>_xlfn.XLOOKUP(C959,customers!$A$1:$A$1001,customers!$G$1:$G$1001,,0,1)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6">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ID]],customers!$A$1:$A$1001,customers!$I$1:$I$1001,"",0,1)</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IF(_xlfn.XLOOKUP(C960,customers!$A$1:$A$1001,customers!$C$1:$C$1001,,0,1)=0,"",(_xlfn.XLOOKUP(C960,customers!$A$1:$A$1001,customers!$C$1:$C$1001,,0,1)))</f>
        <v/>
      </c>
      <c r="H960" s="2" t="str">
        <f>_xlfn.XLOOKUP(C960,customers!$A$1:$A$1001,customers!$G$1:$G$1001,,0,1)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6">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ID]],customers!$A$1:$A$1001,customers!$I$1:$I$1001,"",0,1)</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IF(_xlfn.XLOOKUP(C961,customers!$A$1:$A$1001,customers!$C$1:$C$1001,,0,1)=0,"",(_xlfn.XLOOKUP(C961,customers!$A$1:$A$1001,customers!$C$1:$C$1001,,0,1)))</f>
        <v>rstrathernqn@devhub.com</v>
      </c>
      <c r="H961" s="2" t="str">
        <f>_xlfn.XLOOKUP(C961,customers!$A$1:$A$1001,customers!$G$1:$G$1001,,0,1)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6">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ID]],customers!$A$1:$A$1001,customers!$I$1:$I$1001,"",0,1)</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IF(_xlfn.XLOOKUP(C962,customers!$A$1:$A$1001,customers!$C$1:$C$1001,,0,1)=0,"",(_xlfn.XLOOKUP(C962,customers!$A$1:$A$1001,customers!$C$1:$C$1001,,0,1)))</f>
        <v>cmiguelqo@exblog.jp</v>
      </c>
      <c r="H962" s="2" t="str">
        <f>_xlfn.XLOOKUP(C962,customers!$A$1:$A$1001,customers!$G$1:$G$1001,,0,1)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6">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ID]],customers!$A$1:$A$1001,customers!$I$1:$I$1001,"",0,1)</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IF(_xlfn.XLOOKUP(C963,customers!$A$1:$A$1001,customers!$C$1:$C$1001,,0,1)=0,"",(_xlfn.XLOOKUP(C963,customers!$A$1:$A$1001,customers!$C$1:$C$1001,,0,1)))</f>
        <v/>
      </c>
      <c r="H963" s="2" t="str">
        <f>_xlfn.XLOOKUP(C963,customers!$A$1:$A$1001,customers!$G$1:$G$1001,,0,1)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6">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ID]],customers!$A$1:$A$1001,customers!$I$1:$I$1001,"",0,1)</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IF(_xlfn.XLOOKUP(C964,customers!$A$1:$A$1001,customers!$C$1:$C$1001,,0,1)=0,"",(_xlfn.XLOOKUP(C964,customers!$A$1:$A$1001,customers!$C$1:$C$1001,,0,1)))</f>
        <v>mrocksqq@exblog.jp</v>
      </c>
      <c r="H964" s="2" t="str">
        <f>_xlfn.XLOOKUP(C964,customers!$A$1:$A$1001,customers!$G$1:$G$1001,,0,1)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6">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ID]],customers!$A$1:$A$1001,customers!$I$1:$I$1001,"",0,1)</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IF(_xlfn.XLOOKUP(C965,customers!$A$1:$A$1001,customers!$C$1:$C$1001,,0,1)=0,"",(_xlfn.XLOOKUP(C965,customers!$A$1:$A$1001,customers!$C$1:$C$1001,,0,1)))</f>
        <v>yburrellsqr@vinaora.com</v>
      </c>
      <c r="H965" s="2" t="str">
        <f>_xlfn.XLOOKUP(C965,customers!$A$1:$A$1001,customers!$G$1:$G$1001,,0,1)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6">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ID]],customers!$A$1:$A$1001,customers!$I$1:$I$1001,"",0,1)</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IF(_xlfn.XLOOKUP(C966,customers!$A$1:$A$1001,customers!$C$1:$C$1001,,0,1)=0,"",(_xlfn.XLOOKUP(C966,customers!$A$1:$A$1001,customers!$C$1:$C$1001,,0,1)))</f>
        <v>cgoodrumqs@goodreads.com</v>
      </c>
      <c r="H966" s="2" t="str">
        <f>_xlfn.XLOOKUP(C966,customers!$A$1:$A$1001,customers!$G$1:$G$1001,,0,1)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6">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ID]],customers!$A$1:$A$1001,customers!$I$1:$I$1001,"",0,1)</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IF(_xlfn.XLOOKUP(C967,customers!$A$1:$A$1001,customers!$C$1:$C$1001,,0,1)=0,"",(_xlfn.XLOOKUP(C967,customers!$A$1:$A$1001,customers!$C$1:$C$1001,,0,1)))</f>
        <v>jjefferysqt@blog.com</v>
      </c>
      <c r="H967" s="2" t="str">
        <f>_xlfn.XLOOKUP(C967,customers!$A$1:$A$1001,customers!$G$1:$G$1001,,0,1)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6">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ID]],customers!$A$1:$A$1001,customers!$I$1:$I$1001,"",0,1)</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IF(_xlfn.XLOOKUP(C968,customers!$A$1:$A$1001,customers!$C$1:$C$1001,,0,1)=0,"",(_xlfn.XLOOKUP(C968,customers!$A$1:$A$1001,customers!$C$1:$C$1001,,0,1)))</f>
        <v>bwardellqu@adobe.com</v>
      </c>
      <c r="H968" s="2" t="str">
        <f>_xlfn.XLOOKUP(C968,customers!$A$1:$A$1001,customers!$G$1:$G$1001,,0,1)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6">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ID]],customers!$A$1:$A$1001,customers!$I$1:$I$1001,"",0,1)</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IF(_xlfn.XLOOKUP(C969,customers!$A$1:$A$1001,customers!$C$1:$C$1001,,0,1)=0,"",(_xlfn.XLOOKUP(C969,customers!$A$1:$A$1001,customers!$C$1:$C$1001,,0,1)))</f>
        <v>zwalisiakqv@ucsd.edu</v>
      </c>
      <c r="H969" s="2" t="str">
        <f>_xlfn.XLOOKUP(C969,customers!$A$1:$A$1001,customers!$G$1:$G$1001,,0,1)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6">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ID]],customers!$A$1:$A$1001,customers!$I$1:$I$1001,"",0,1)</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IF(_xlfn.XLOOKUP(C970,customers!$A$1:$A$1001,customers!$C$1:$C$1001,,0,1)=0,"",(_xlfn.XLOOKUP(C970,customers!$A$1:$A$1001,customers!$C$1:$C$1001,,0,1)))</f>
        <v>wleopoldqw@blogspot.com</v>
      </c>
      <c r="H970" s="2" t="str">
        <f>_xlfn.XLOOKUP(C970,customers!$A$1:$A$1001,customers!$G$1:$G$1001,,0,1)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6">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ID]],customers!$A$1:$A$1001,customers!$I$1:$I$1001,"",0,1)</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IF(_xlfn.XLOOKUP(C971,customers!$A$1:$A$1001,customers!$C$1:$C$1001,,0,1)=0,"",(_xlfn.XLOOKUP(C971,customers!$A$1:$A$1001,customers!$C$1:$C$1001,,0,1)))</f>
        <v>cshaldersqx@cisco.com</v>
      </c>
      <c r="H971" s="2" t="str">
        <f>_xlfn.XLOOKUP(C971,customers!$A$1:$A$1001,customers!$G$1:$G$1001,,0,1)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6">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ID]],customers!$A$1:$A$1001,customers!$I$1:$I$1001,"",0,1)</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IF(_xlfn.XLOOKUP(C972,customers!$A$1:$A$1001,customers!$C$1:$C$1001,,0,1)=0,"",(_xlfn.XLOOKUP(C972,customers!$A$1:$A$1001,customers!$C$1:$C$1001,,0,1)))</f>
        <v/>
      </c>
      <c r="H972" s="2" t="str">
        <f>_xlfn.XLOOKUP(C972,customers!$A$1:$A$1001,customers!$G$1:$G$1001,,0,1)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6">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ID]],customers!$A$1:$A$1001,customers!$I$1:$I$1001,"",0,1)</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IF(_xlfn.XLOOKUP(C973,customers!$A$1:$A$1001,customers!$C$1:$C$1001,,0,1)=0,"",(_xlfn.XLOOKUP(C973,customers!$A$1:$A$1001,customers!$C$1:$C$1001,,0,1)))</f>
        <v>nfurberqz@jugem.jp</v>
      </c>
      <c r="H973" s="2" t="str">
        <f>_xlfn.XLOOKUP(C973,customers!$A$1:$A$1001,customers!$G$1:$G$1001,,0,1)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6">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ID]],customers!$A$1:$A$1001,customers!$I$1:$I$1001,"",0,1)</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IF(_xlfn.XLOOKUP(C974,customers!$A$1:$A$1001,customers!$C$1:$C$1001,,0,1)=0,"",(_xlfn.XLOOKUP(C974,customers!$A$1:$A$1001,customers!$C$1:$C$1001,,0,1)))</f>
        <v/>
      </c>
      <c r="H974" s="2" t="str">
        <f>_xlfn.XLOOKUP(C974,customers!$A$1:$A$1001,customers!$G$1:$G$1001,,0,1)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6">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ID]],customers!$A$1:$A$1001,customers!$I$1:$I$1001,"",0,1)</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IF(_xlfn.XLOOKUP(C975,customers!$A$1:$A$1001,customers!$C$1:$C$1001,,0,1)=0,"",(_xlfn.XLOOKUP(C975,customers!$A$1:$A$1001,customers!$C$1:$C$1001,,0,1)))</f>
        <v>ckeaver1@ucoz.com</v>
      </c>
      <c r="H975" s="2" t="str">
        <f>_xlfn.XLOOKUP(C975,customers!$A$1:$A$1001,customers!$G$1:$G$1001,,0,1)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6">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ID]],customers!$A$1:$A$1001,customers!$I$1:$I$1001,"",0,1)</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IF(_xlfn.XLOOKUP(C976,customers!$A$1:$A$1001,customers!$C$1:$C$1001,,0,1)=0,"",(_xlfn.XLOOKUP(C976,customers!$A$1:$A$1001,customers!$C$1:$C$1001,,0,1)))</f>
        <v>sroseboroughr2@virginia.edu</v>
      </c>
      <c r="H976" s="2" t="str">
        <f>_xlfn.XLOOKUP(C976,customers!$A$1:$A$1001,customers!$G$1:$G$1001,,0,1)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6">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ID]],customers!$A$1:$A$1001,customers!$I$1:$I$1001,"",0,1)</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IF(_xlfn.XLOOKUP(C977,customers!$A$1:$A$1001,customers!$C$1:$C$1001,,0,1)=0,"",(_xlfn.XLOOKUP(C977,customers!$A$1:$A$1001,customers!$C$1:$C$1001,,0,1)))</f>
        <v>ckingwellr3@squarespace.com</v>
      </c>
      <c r="H977" s="2" t="str">
        <f>_xlfn.XLOOKUP(C977,customers!$A$1:$A$1001,customers!$G$1:$G$1001,,0,1)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6">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ID]],customers!$A$1:$A$1001,customers!$I$1:$I$1001,"",0,1)</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IF(_xlfn.XLOOKUP(C978,customers!$A$1:$A$1001,customers!$C$1:$C$1001,,0,1)=0,"",(_xlfn.XLOOKUP(C978,customers!$A$1:$A$1001,customers!$C$1:$C$1001,,0,1)))</f>
        <v>kcantor4@gmpg.org</v>
      </c>
      <c r="H978" s="2" t="str">
        <f>_xlfn.XLOOKUP(C978,customers!$A$1:$A$1001,customers!$G$1:$G$1001,,0,1)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6">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ID]],customers!$A$1:$A$1001,customers!$I$1:$I$1001,"",0,1)</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IF(_xlfn.XLOOKUP(C979,customers!$A$1:$A$1001,customers!$C$1:$C$1001,,0,1)=0,"",(_xlfn.XLOOKUP(C979,customers!$A$1:$A$1001,customers!$C$1:$C$1001,,0,1)))</f>
        <v>mblakemorer5@nsw.gov.au</v>
      </c>
      <c r="H979" s="2" t="str">
        <f>_xlfn.XLOOKUP(C979,customers!$A$1:$A$1001,customers!$G$1:$G$1001,,0,1)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6">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ID]],customers!$A$1:$A$1001,customers!$I$1:$I$1001,"",0,1)</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IF(_xlfn.XLOOKUP(C980,customers!$A$1:$A$1001,customers!$C$1:$C$1001,,0,1)=0,"",(_xlfn.XLOOKUP(C980,customers!$A$1:$A$1001,customers!$C$1:$C$1001,,0,1)))</f>
        <v>ckeaver1@ucoz.com</v>
      </c>
      <c r="H980" s="2" t="str">
        <f>_xlfn.XLOOKUP(C980,customers!$A$1:$A$1001,customers!$G$1:$G$1001,,0,1)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6">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ID]],customers!$A$1:$A$1001,customers!$I$1:$I$1001,"",0,1)</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IF(_xlfn.XLOOKUP(C981,customers!$A$1:$A$1001,customers!$C$1:$C$1001,,0,1)=0,"",(_xlfn.XLOOKUP(C981,customers!$A$1:$A$1001,customers!$C$1:$C$1001,,0,1)))</f>
        <v/>
      </c>
      <c r="H981" s="2" t="str">
        <f>_xlfn.XLOOKUP(C981,customers!$A$1:$A$1001,customers!$G$1:$G$1001,,0,1)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6">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ID]],customers!$A$1:$A$1001,customers!$I$1:$I$1001,"",0,1)</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IF(_xlfn.XLOOKUP(C982,customers!$A$1:$A$1001,customers!$C$1:$C$1001,,0,1)=0,"",(_xlfn.XLOOKUP(C982,customers!$A$1:$A$1001,customers!$C$1:$C$1001,,0,1)))</f>
        <v/>
      </c>
      <c r="H982" s="2" t="str">
        <f>_xlfn.XLOOKUP(C982,customers!$A$1:$A$1001,customers!$G$1:$G$1001,,0,1)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6">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ID]],customers!$A$1:$A$1001,customers!$I$1:$I$1001,"",0,1)</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IF(_xlfn.XLOOKUP(C983,customers!$A$1:$A$1001,customers!$C$1:$C$1001,,0,1)=0,"",(_xlfn.XLOOKUP(C983,customers!$A$1:$A$1001,customers!$C$1:$C$1001,,0,1)))</f>
        <v>cbernardotr9@wix.com</v>
      </c>
      <c r="H983" s="2" t="str">
        <f>_xlfn.XLOOKUP(C983,customers!$A$1:$A$1001,customers!$G$1:$G$1001,,0,1)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6">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ID]],customers!$A$1:$A$1001,customers!$I$1:$I$1001,"",0,1)</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IF(_xlfn.XLOOKUP(C984,customers!$A$1:$A$1001,customers!$C$1:$C$1001,,0,1)=0,"",(_xlfn.XLOOKUP(C984,customers!$A$1:$A$1001,customers!$C$1:$C$1001,,0,1)))</f>
        <v>kkemeryra@t.co</v>
      </c>
      <c r="H984" s="2" t="str">
        <f>_xlfn.XLOOKUP(C984,customers!$A$1:$A$1001,customers!$G$1:$G$1001,,0,1)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6">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ID]],customers!$A$1:$A$1001,customers!$I$1:$I$1001,"",0,1)</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IF(_xlfn.XLOOKUP(C985,customers!$A$1:$A$1001,customers!$C$1:$C$1001,,0,1)=0,"",(_xlfn.XLOOKUP(C985,customers!$A$1:$A$1001,customers!$C$1:$C$1001,,0,1)))</f>
        <v>fparlotrb@forbes.com</v>
      </c>
      <c r="H985" s="2" t="str">
        <f>_xlfn.XLOOKUP(C985,customers!$A$1:$A$1001,customers!$G$1:$G$1001,,0,1)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6">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ID]],customers!$A$1:$A$1001,customers!$I$1:$I$1001,"",0,1)</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IF(_xlfn.XLOOKUP(C986,customers!$A$1:$A$1001,customers!$C$1:$C$1001,,0,1)=0,"",(_xlfn.XLOOKUP(C986,customers!$A$1:$A$1001,customers!$C$1:$C$1001,,0,1)))</f>
        <v>rcheakrc@tripadvisor.com</v>
      </c>
      <c r="H986" s="2" t="str">
        <f>_xlfn.XLOOKUP(C986,customers!$A$1:$A$1001,customers!$G$1:$G$1001,,0,1)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6">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ID]],customers!$A$1:$A$1001,customers!$I$1:$I$1001,"",0,1)</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IF(_xlfn.XLOOKUP(C987,customers!$A$1:$A$1001,customers!$C$1:$C$1001,,0,1)=0,"",(_xlfn.XLOOKUP(C987,customers!$A$1:$A$1001,customers!$C$1:$C$1001,,0,1)))</f>
        <v>kogeneayrd@utexas.edu</v>
      </c>
      <c r="H987" s="2" t="str">
        <f>_xlfn.XLOOKUP(C987,customers!$A$1:$A$1001,customers!$G$1:$G$1001,,0,1)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6">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ID]],customers!$A$1:$A$1001,customers!$I$1:$I$1001,"",0,1)</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IF(_xlfn.XLOOKUP(C988,customers!$A$1:$A$1001,customers!$C$1:$C$1001,,0,1)=0,"",(_xlfn.XLOOKUP(C988,customers!$A$1:$A$1001,customers!$C$1:$C$1001,,0,1)))</f>
        <v>cayrere@symantec.com</v>
      </c>
      <c r="H988" s="2" t="str">
        <f>_xlfn.XLOOKUP(C988,customers!$A$1:$A$1001,customers!$G$1:$G$1001,,0,1)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6">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ID]],customers!$A$1:$A$1001,customers!$I$1:$I$1001,"",0,1)</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IF(_xlfn.XLOOKUP(C989,customers!$A$1:$A$1001,customers!$C$1:$C$1001,,0,1)=0,"",(_xlfn.XLOOKUP(C989,customers!$A$1:$A$1001,customers!$C$1:$C$1001,,0,1)))</f>
        <v>lkynetonrf@macromedia.com</v>
      </c>
      <c r="H989" s="2" t="str">
        <f>_xlfn.XLOOKUP(C989,customers!$A$1:$A$1001,customers!$G$1:$G$1001,,0,1)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6">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ID]],customers!$A$1:$A$1001,customers!$I$1:$I$1001,"",0,1)</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IF(_xlfn.XLOOKUP(C990,customers!$A$1:$A$1001,customers!$C$1:$C$1001,,0,1)=0,"",(_xlfn.XLOOKUP(C990,customers!$A$1:$A$1001,customers!$C$1:$C$1001,,0,1)))</f>
        <v/>
      </c>
      <c r="H990" s="2" t="str">
        <f>_xlfn.XLOOKUP(C990,customers!$A$1:$A$1001,customers!$G$1:$G$1001,,0,1)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6">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ID]],customers!$A$1:$A$1001,customers!$I$1:$I$1001,"",0,1)</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IF(_xlfn.XLOOKUP(C991,customers!$A$1:$A$1001,customers!$C$1:$C$1001,,0,1)=0,"",(_xlfn.XLOOKUP(C991,customers!$A$1:$A$1001,customers!$C$1:$C$1001,,0,1)))</f>
        <v/>
      </c>
      <c r="H991" s="2" t="str">
        <f>_xlfn.XLOOKUP(C991,customers!$A$1:$A$1001,customers!$G$1:$G$1001,,0,1)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6">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ID]],customers!$A$1:$A$1001,customers!$I$1:$I$1001,"",0,1)</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IF(_xlfn.XLOOKUP(C992,customers!$A$1:$A$1001,customers!$C$1:$C$1001,,0,1)=0,"",(_xlfn.XLOOKUP(C992,customers!$A$1:$A$1001,customers!$C$1:$C$1001,,0,1)))</f>
        <v/>
      </c>
      <c r="H992" s="2" t="str">
        <f>_xlfn.XLOOKUP(C992,customers!$A$1:$A$1001,customers!$G$1:$G$1001,,0,1)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6">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ID]],customers!$A$1:$A$1001,customers!$I$1:$I$1001,"",0,1)</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IF(_xlfn.XLOOKUP(C993,customers!$A$1:$A$1001,customers!$C$1:$C$1001,,0,1)=0,"",(_xlfn.XLOOKUP(C993,customers!$A$1:$A$1001,customers!$C$1:$C$1001,,0,1)))</f>
        <v/>
      </c>
      <c r="H993" s="2" t="str">
        <f>_xlfn.XLOOKUP(C993,customers!$A$1:$A$1001,customers!$G$1:$G$1001,,0,1)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6">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ID]],customers!$A$1:$A$1001,customers!$I$1:$I$1001,"",0,1)</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IF(_xlfn.XLOOKUP(C994,customers!$A$1:$A$1001,customers!$C$1:$C$1001,,0,1)=0,"",(_xlfn.XLOOKUP(C994,customers!$A$1:$A$1001,customers!$C$1:$C$1001,,0,1)))</f>
        <v/>
      </c>
      <c r="H994" s="2" t="str">
        <f>_xlfn.XLOOKUP(C994,customers!$A$1:$A$1001,customers!$G$1:$G$1001,,0,1)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6">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ID]],customers!$A$1:$A$1001,customers!$I$1:$I$1001,"",0,1)</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IF(_xlfn.XLOOKUP(C995,customers!$A$1:$A$1001,customers!$C$1:$C$1001,,0,1)=0,"",(_xlfn.XLOOKUP(C995,customers!$A$1:$A$1001,customers!$C$1:$C$1001,,0,1)))</f>
        <v/>
      </c>
      <c r="H995" s="2" t="str">
        <f>_xlfn.XLOOKUP(C995,customers!$A$1:$A$1001,customers!$G$1:$G$1001,,0,1)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6">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ID]],customers!$A$1:$A$1001,customers!$I$1:$I$1001,"",0,1)</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IF(_xlfn.XLOOKUP(C996,customers!$A$1:$A$1001,customers!$C$1:$C$1001,,0,1)=0,"",(_xlfn.XLOOKUP(C996,customers!$A$1:$A$1001,customers!$C$1:$C$1001,,0,1)))</f>
        <v/>
      </c>
      <c r="H996" s="2" t="str">
        <f>_xlfn.XLOOKUP(C996,customers!$A$1:$A$1001,customers!$G$1:$G$1001,,0,1)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6">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ID]],customers!$A$1:$A$1001,customers!$I$1:$I$1001,"",0,1)</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IF(_xlfn.XLOOKUP(C997,customers!$A$1:$A$1001,customers!$C$1:$C$1001,,0,1)=0,"",(_xlfn.XLOOKUP(C997,customers!$A$1:$A$1001,customers!$C$1:$C$1001,,0,1)))</f>
        <v>jtewelsonrn@samsung.com</v>
      </c>
      <c r="H997" s="2" t="str">
        <f>_xlfn.XLOOKUP(C997,customers!$A$1:$A$1001,customers!$G$1:$G$1001,,0,1)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6">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ID]],customers!$A$1:$A$1001,customers!$I$1:$I$1001,"",0,1)</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IF(_xlfn.XLOOKUP(C998,customers!$A$1:$A$1001,customers!$C$1:$C$1001,,0,1)=0,"",(_xlfn.XLOOKUP(C998,customers!$A$1:$A$1001,customers!$C$1:$C$1001,,0,1)))</f>
        <v/>
      </c>
      <c r="H998" s="2" t="str">
        <f>_xlfn.XLOOKUP(C998,customers!$A$1:$A$1001,customers!$G$1:$G$1001,,0,1)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6">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ID]],customers!$A$1:$A$1001,customers!$I$1:$I$1001,"",0,1)</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IF(_xlfn.XLOOKUP(C999,customers!$A$1:$A$1001,customers!$C$1:$C$1001,,0,1)=0,"",(_xlfn.XLOOKUP(C999,customers!$A$1:$A$1001,customers!$C$1:$C$1001,,0,1)))</f>
        <v/>
      </c>
      <c r="H999" s="2" t="str">
        <f>_xlfn.XLOOKUP(C999,customers!$A$1:$A$1001,customers!$G$1:$G$1001,,0,1)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6">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ID]],customers!$A$1:$A$1001,customers!$I$1:$I$1001,"",0,1)</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IF(_xlfn.XLOOKUP(C1000,customers!$A$1:$A$1001,customers!$C$1:$C$1001,,0,1)=0,"",(_xlfn.XLOOKUP(C1000,customers!$A$1:$A$1001,customers!$C$1:$C$1001,,0,1)))</f>
        <v>njennyrq@bigcartel.com</v>
      </c>
      <c r="H1000" s="2" t="str">
        <f>_xlfn.XLOOKUP(C1000,customers!$A$1:$A$1001,customers!$G$1:$G$1001,,0,1)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6">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ID]],customers!$A$1:$A$1001,customers!$I$1:$I$1001,"",0,1)</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IF(_xlfn.XLOOKUP(C1001,customers!$A$1:$A$1001,customers!$C$1:$C$1001,,0,1)=0,"",(_xlfn.XLOOKUP(C1001,customers!$A$1:$A$1001,customers!$C$1:$C$1001,,0,1)))</f>
        <v/>
      </c>
      <c r="H1001" s="2" t="str">
        <f>_xlfn.XLOOKUP(C1001,customers!$A$1:$A$1001,customers!$G$1:$G$1001,,0,1)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6">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ID]],customers!$A$1:$A$1001,customers!$I$1:$I$1001,"",0,1)</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zoomScale="130" zoomScaleNormal="130" workbookViewId="0"/>
  </sheetViews>
  <sheetFormatPr defaultRowHeight="15" x14ac:dyDescent="0.25"/>
  <cols>
    <col min="1" max="1" width="16.28515625" bestFit="1" customWidth="1"/>
    <col min="2" max="2" width="23.7109375" bestFit="1" customWidth="1"/>
    <col min="3" max="3" width="39.42578125" bestFit="1" customWidth="1"/>
    <col min="4" max="4" width="21.28515625"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30" zoomScaleNormal="130"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A2B30-B0AC-47F8-8486-E113C2F9FF80}">
  <dimension ref="A3:B6"/>
  <sheetViews>
    <sheetView workbookViewId="0">
      <selection activeCell="U28" sqref="U28"/>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7"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76BD-C6A8-48A2-8EB3-1612738A75D7}">
  <dimension ref="A3:B8"/>
  <sheetViews>
    <sheetView workbookViewId="0">
      <selection activeCell="O6" sqref="O6"/>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7"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orders</vt:lpstr>
      <vt:lpstr>customers</vt:lpstr>
      <vt:lpstr>products</vt:lpstr>
      <vt:lpstr>CountryBarChart</vt:lpstr>
      <vt:lpstr>Top5Customers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Zac Hannah</cp:lastModifiedBy>
  <cp:revision/>
  <dcterms:created xsi:type="dcterms:W3CDTF">2022-11-26T09:51:45Z</dcterms:created>
  <dcterms:modified xsi:type="dcterms:W3CDTF">2025-11-22T18:21:03Z</dcterms:modified>
  <cp:category/>
  <cp:contentStatus/>
</cp:coreProperties>
</file>